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R Deal Analyzer" sheetId="1" state="visible" r:id="rId1"/>
    <sheet name="Renovation Calculator" sheetId="2" state="visible" r:id="rId2"/>
    <sheet name="Renovation Rates" sheetId="3" state="visible" r:id="rId3"/>
    <sheet name="Long-Term Outlook" sheetId="4" state="visible" r:id="rId4"/>
    <sheet name="Sensitivit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\$#,##0"/>
    <numFmt numFmtId="166" formatCode="0.0%"/>
    <numFmt numFmtId="167" formatCode="\$#,##0.00"/>
    <numFmt numFmtId="168" formatCode="0.00\x"/>
    <numFmt numFmtId="169" formatCode="0.0\x"/>
    <numFmt numFmtId="170" formatCode="&quot;$&quot;#,##0.00"/>
    <numFmt numFmtId="171" formatCode="&quot;$&quot;#,##0"/>
  </numFmts>
  <fonts count="28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000000"/>
      <sz val="16"/>
    </font>
    <font>
      <name val="Arial"/>
      <color rgb="FF000000"/>
      <sz val="10"/>
    </font>
    <font>
      <name val="Arial"/>
      <b val="1"/>
      <color rgb="FF000000"/>
      <sz val="11"/>
    </font>
    <font>
      <name val="Calibri"/>
      <color rgb="FF000000"/>
      <sz val="11"/>
    </font>
    <font>
      <name val="Arial"/>
      <color rgb="FF0000FF"/>
      <sz val="10"/>
      <u val="single"/>
    </font>
    <font>
      <name val="Arial"/>
      <color theme="1"/>
      <sz val="10"/>
    </font>
    <font>
      <name val="Arial"/>
      <b val="1"/>
      <color rgb="FF000000"/>
      <sz val="10"/>
    </font>
    <font>
      <name val="Arial"/>
      <i val="1"/>
      <color rgb="FF888888"/>
      <sz val="9"/>
    </font>
    <font>
      <name val="Arial"/>
      <b val="1"/>
      <color rgb="FFB8700A"/>
      <sz val="10"/>
    </font>
    <font>
      <name val="Arial"/>
      <b val="1"/>
      <color rgb="FF008000"/>
      <sz val="10"/>
    </font>
    <font>
      <name val="Arial"/>
      <b val="1"/>
      <color rgb="FF3B7DD8"/>
      <sz val="10"/>
    </font>
    <font>
      <name val="Arial"/>
      <b val="1"/>
      <color rgb="FF6B8E23"/>
      <sz val="10"/>
    </font>
    <font>
      <name val="Arial"/>
      <b val="1"/>
      <color rgb="FFCC8800"/>
      <sz val="10"/>
    </font>
    <font>
      <name val="Arial"/>
      <b val="1"/>
      <color rgb="FFCC0000"/>
      <sz val="10"/>
    </font>
    <font/>
    <font>
      <name val="Arial"/>
      <i val="1"/>
      <color rgb="FF000000"/>
      <sz val="9"/>
    </font>
    <font>
      <name val="Calibri"/>
      <color rgb="FF000000"/>
      <scheme val="minor"/>
    </font>
    <font>
      <name val="Arial"/>
      <b val="1"/>
      <color rgb="FF0000FF"/>
      <sz val="10"/>
    </font>
    <font>
      <name val="Arial"/>
      <i val="1"/>
      <color rgb="FF999999"/>
      <sz val="9"/>
    </font>
    <font>
      <name val="Arial"/>
      <b val="1"/>
      <color rgb="FF000000"/>
      <sz val="8"/>
    </font>
    <font>
      <name val="Arial"/>
      <b val="1"/>
      <color rgb="FF000000"/>
      <sz val="13"/>
    </font>
    <font>
      <name val="Arial"/>
      <b val="1"/>
      <color rgb="FF000000"/>
      <sz val="14"/>
    </font>
    <font>
      <name val="Arial"/>
      <b val="1"/>
      <color rgb="FFFFFFFF"/>
      <sz val="10"/>
    </font>
    <font>
      <name val="Arial"/>
      <i val="1"/>
      <color rgb="FF3D2B1F"/>
      <sz val="9"/>
    </font>
    <font>
      <name val="Arial"/>
      <b val="1"/>
      <color rgb="FF3D2B1F"/>
      <sz val="9"/>
    </font>
    <font>
      <name val="Arial"/>
      <i val="1"/>
      <color rgb="FF666666"/>
      <sz val="9"/>
    </font>
  </fonts>
  <fills count="12">
    <fill>
      <patternFill/>
    </fill>
    <fill>
      <patternFill patternType="lightGray"/>
    </fill>
    <fill>
      <patternFill patternType="solid">
        <fgColor rgb="FFFFC77C"/>
        <bgColor rgb="FFFFC77C"/>
      </patternFill>
    </fill>
    <fill>
      <patternFill patternType="solid">
        <fgColor rgb="FFFFF5E6"/>
        <bgColor rgb="FFFFF5E6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6F5E8"/>
        <bgColor rgb="FFE6F5E8"/>
      </patternFill>
    </fill>
    <fill>
      <patternFill patternType="solid">
        <fgColor rgb="FFFFF3DC"/>
        <bgColor rgb="FFFFF3DC"/>
      </patternFill>
    </fill>
    <fill>
      <patternFill patternType="solid">
        <fgColor rgb="FFEDE3D9"/>
        <bgColor rgb="FFEDE3D9"/>
      </patternFill>
    </fill>
    <fill>
      <patternFill patternType="solid">
        <fgColor rgb="FFFFFDF5"/>
        <bgColor rgb="FFFFFDF5"/>
      </patternFill>
    </fill>
    <fill>
      <patternFill patternType="solid">
        <fgColor rgb="FFF7F4F1"/>
        <bgColor rgb="FFF7F4F1"/>
      </patternFill>
    </fill>
    <fill>
      <patternFill patternType="solid">
        <fgColor rgb="FFFFD7A2"/>
        <bgColor rgb="FFFFD7A2"/>
      </patternFill>
    </fill>
  </fills>
  <borders count="10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D5C9BF"/>
      </left>
      <right style="thin">
        <color rgb="FFD5C9BF"/>
      </right>
      <top style="thin">
        <color rgb="FFD5C9BF"/>
      </top>
      <bottom style="thin">
        <color rgb="FFD5C9BF"/>
      </bottom>
    </border>
    <border>
      <left/>
      <right/>
      <top/>
      <bottom style="medium">
        <color rgb="FF1B2A4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 style="medium">
        <color rgb="FF1B2A4A"/>
      </bottom>
    </border>
    <border>
      <top/>
      <bottom style="medium">
        <color rgb="FF1B2A4A"/>
      </bottom>
    </border>
    <border>
      <bottom style="medium">
        <color rgb="FF1B2A4A"/>
      </bottom>
    </border>
  </borders>
  <cellStyleXfs count="1">
    <xf numFmtId="0" fontId="0" fillId="0" borderId="0"/>
  </cellStyleXfs>
  <cellXfs count="1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bottom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left" vertical="center"/>
    </xf>
    <xf numFmtId="164" fontId="3" fillId="4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7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vertical="bottom"/>
    </xf>
    <xf numFmtId="165" fontId="3" fillId="3" borderId="0" applyAlignment="1" pivotButton="0" quotePrefix="0" xfId="0">
      <alignment horizontal="right" vertical="center"/>
    </xf>
    <xf numFmtId="166" fontId="3" fillId="3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167" fontId="8" fillId="5" borderId="0" applyAlignment="1" pivotButton="0" quotePrefix="0" xfId="0">
      <alignment horizontal="right" vertical="center"/>
    </xf>
    <xf numFmtId="166" fontId="3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bottom"/>
    </xf>
    <xf numFmtId="0" fontId="8" fillId="6" borderId="0" applyAlignment="1" pivotButton="0" quotePrefix="0" xfId="0">
      <alignment horizontal="left" vertical="center"/>
    </xf>
    <xf numFmtId="167" fontId="8" fillId="6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9" fontId="3" fillId="3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9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16" fillId="0" borderId="2" pivotButton="0" quotePrefix="0" xfId="0"/>
    <xf numFmtId="0" fontId="17" fillId="7" borderId="1" applyAlignment="1" pivotButton="0" quotePrefix="0" xfId="0">
      <alignment horizontal="left" vertical="center"/>
    </xf>
    <xf numFmtId="0" fontId="18" fillId="0" borderId="0" pivotButton="0" quotePrefix="0" xfId="0"/>
    <xf numFmtId="0" fontId="8" fillId="8" borderId="3" applyAlignment="1" pivotButton="0" quotePrefix="0" xfId="0">
      <alignment horizontal="left" vertical="center"/>
    </xf>
    <xf numFmtId="3" fontId="19" fillId="9" borderId="3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21" fillId="8" borderId="4" applyAlignment="1" pivotButton="0" quotePrefix="0" xfId="0">
      <alignment horizontal="center" vertical="center"/>
    </xf>
    <xf numFmtId="0" fontId="3" fillId="10" borderId="4" applyAlignment="1" pivotButton="0" quotePrefix="0" xfId="0">
      <alignment horizontal="left" vertical="center"/>
    </xf>
    <xf numFmtId="3" fontId="19" fillId="9" borderId="4" applyAlignment="1" pivotButton="0" quotePrefix="0" xfId="0">
      <alignment horizontal="center" vertical="center"/>
    </xf>
    <xf numFmtId="0" fontId="20" fillId="10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/>
    </xf>
    <xf numFmtId="170" fontId="3" fillId="4" borderId="4" applyAlignment="1" pivotButton="0" quotePrefix="0" xfId="0">
      <alignment horizontal="right" vertical="center"/>
    </xf>
    <xf numFmtId="171" fontId="8" fillId="4" borderId="4" applyAlignment="1" pivotButton="0" quotePrefix="0" xfId="0">
      <alignment horizontal="right" vertical="center"/>
    </xf>
    <xf numFmtId="3" fontId="19" fillId="9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/>
    </xf>
    <xf numFmtId="170" fontId="3" fillId="4" borderId="4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171" fontId="8" fillId="2" borderId="3" applyAlignment="1" pivotButton="0" quotePrefix="0" xfId="0">
      <alignment horizontal="right" vertical="center"/>
    </xf>
    <xf numFmtId="0" fontId="18" fillId="0" borderId="0" pivotButton="0" quotePrefix="0" xfId="0"/>
    <xf numFmtId="0" fontId="20" fillId="10" borderId="4" applyAlignment="1" pivotButton="0" quotePrefix="0" xfId="0">
      <alignment horizontal="center" vertical="center"/>
    </xf>
    <xf numFmtId="171" fontId="3" fillId="4" borderId="4" applyAlignment="1" pivotButton="0" quotePrefix="0" xfId="0">
      <alignment horizontal="right" vertical="center"/>
    </xf>
    <xf numFmtId="171" fontId="8" fillId="4" borderId="4" applyAlignment="1" pivotButton="0" quotePrefix="0" xfId="0">
      <alignment horizontal="right" vertical="center"/>
    </xf>
    <xf numFmtId="171" fontId="19" fillId="9" borderId="4" applyAlignment="1" pivotButton="0" quotePrefix="0" xfId="0">
      <alignment horizontal="center" vertical="center"/>
    </xf>
    <xf numFmtId="0" fontId="5" fillId="10" borderId="4" pivotButton="0" quotePrefix="0" xfId="0"/>
    <xf numFmtId="9" fontId="19" fillId="9" borderId="4" applyAlignment="1" pivotButton="0" quotePrefix="0" xfId="0">
      <alignment horizontal="center" vertical="center"/>
    </xf>
    <xf numFmtId="0" fontId="22" fillId="2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171" fontId="8" fillId="11" borderId="3" applyAlignment="1" pivotButton="0" quotePrefix="0" xfId="0">
      <alignment horizontal="right" vertical="center"/>
    </xf>
    <xf numFmtId="0" fontId="23" fillId="2" borderId="1" applyAlignment="1" pivotButton="0" quotePrefix="0" xfId="0">
      <alignment horizontal="left" vertical="center"/>
    </xf>
    <xf numFmtId="171" fontId="23" fillId="2" borderId="3" applyAlignment="1" pivotButton="0" quotePrefix="0" xfId="0">
      <alignment horizontal="right" vertical="center"/>
    </xf>
    <xf numFmtId="170" fontId="8" fillId="7" borderId="3" applyAlignment="1" pivotButton="0" quotePrefix="0" xfId="0">
      <alignment horizontal="right" vertical="center"/>
    </xf>
    <xf numFmtId="0" fontId="24" fillId="2" borderId="4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/>
    </xf>
    <xf numFmtId="0" fontId="26" fillId="8" borderId="1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170" fontId="3" fillId="0" borderId="4" applyAlignment="1" pivotButton="0" quotePrefix="0" xfId="0">
      <alignment horizontal="right" vertical="center"/>
    </xf>
    <xf numFmtId="0" fontId="27" fillId="0" borderId="4" applyAlignment="1" pivotButton="0" quotePrefix="0" xfId="0">
      <alignment horizontal="left" vertical="center"/>
    </xf>
    <xf numFmtId="171" fontId="3" fillId="0" borderId="4" applyAlignment="1" pivotButton="0" quotePrefix="0" xfId="0">
      <alignment horizontal="right" vertical="center"/>
    </xf>
    <xf numFmtId="171" fontId="3" fillId="0" borderId="4" applyAlignment="1" pivotButton="0" quotePrefix="0" xfId="0">
      <alignment horizontal="right" vertical="center"/>
    </xf>
    <xf numFmtId="0" fontId="27" fillId="0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5" fillId="2" borderId="3" applyAlignment="1" pivotButton="0" quotePrefix="0" xfId="0">
      <alignment vertical="bottom"/>
    </xf>
    <xf numFmtId="0" fontId="4" fillId="2" borderId="5" applyAlignment="1" pivotButton="0" quotePrefix="0" xfId="0">
      <alignment horizontal="left" vertical="center"/>
    </xf>
    <xf numFmtId="0" fontId="5" fillId="2" borderId="5" applyAlignment="1" pivotButton="0" quotePrefix="0" xfId="0">
      <alignment vertical="bottom"/>
    </xf>
    <xf numFmtId="166" fontId="3" fillId="3" borderId="6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16" fillId="0" borderId="8" pivotButton="0" quotePrefix="0" xfId="0"/>
    <xf numFmtId="0" fontId="2" fillId="2" borderId="1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166" fontId="3" fillId="5" borderId="3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9" pivotButton="0" quotePrefix="0" xfId="0"/>
  </cellXfs>
  <cellStyles count="1">
    <cellStyle name="Normal" xfId="0" builtinId="0"/>
  </cellStyles>
  <dxfs count="5">
    <dxf>
      <font>
        <b val="1"/>
        <color rgb="FF006100"/>
      </font>
      <fill>
        <patternFill patternType="solid">
          <fgColor rgb="FFC6EFCE"/>
          <bgColor rgb="FFC6EFCE"/>
        </patternFill>
      </fill>
      <border/>
    </dxf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Enter the full street address of the property being analyzed.
======</t>
      </text>
    </comment>
    <comment ref="E5" authorId="0" shapeId="0">
      <text>
        <t>Auto-populated with today's date.
======</t>
      </text>
    </comment>
    <comment ref="B6" authorId="0" shapeId="0">
      <text>
        <t>Paste the listing URL from Redfin, Zillow, or Realtor.com for reference.
======</t>
      </text>
    </comment>
    <comment ref="E6" authorId="0" shapeId="0">
      <text>
        <t>City and state — used for market identification.
======</t>
      </text>
    </comment>
    <comment ref="E7" authorId="0" shapeId="0">
      <text>
        <t>Single Family, Condo, Townhome, Multi-Family, etc.
======</t>
      </text>
    </comment>
    <comment ref="B8" authorId="0" shapeId="0">
      <text>
        <t>Total number of bedrooms including any ADU or guest house.
======</t>
      </text>
    </comment>
    <comment ref="E8" authorId="0" shapeId="0">
      <text>
        <t>Total bathrooms including half baths.
======</t>
      </text>
    </comment>
    <comment ref="B9" authorId="0" shapeId="0">
      <text>
        <t>Total heated square footage from the listing.
======</t>
      </text>
    </comment>
    <comment ref="E9" authorId="0" shapeId="0">
      <text>
        <t>Year the property was originally built.
======</t>
      </text>
    </comment>
    <comment ref="E10" authorId="0" shapeId="0">
      <text>
        <t>Key amenities that affect STR performance: pool, hot tub, game room, views, etc.
======</t>
      </text>
    </comment>
    <comment ref="B11" authorId="0" shapeId="0">
      <text>
        <t>Any special notes about the property — unique features, concerns, ADU details, etc.
======</t>
      </text>
    </comment>
    <comment ref="B14" authorId="0" shapeId="0">
      <text>
        <t>The agreed or listed purchase price. All financing calcs derive from this.
======</t>
      </text>
    </comment>
    <comment ref="E14" authorId="0" shapeId="0">
      <text>
        <t>After Repair Value — estimated value post-renovation. Used for equity and depreciation calcs. Leave 0 to use purchase price.
======</t>
      </text>
    </comment>
    <comment ref="B15" authorId="0" shapeId="0">
      <text>
        <t>Buyer's agent commission if applicable. Often 2-3% or $0 if negotiated.
======</t>
      </text>
    </comment>
    <comment ref="B16" authorId="0" shapeId="0">
      <text>
        <t>Typically 1-3% of purchase price. Covers title, escrow, recording fees.
======</t>
      </text>
    </comment>
    <comment ref="E17" authorId="0" shapeId="0">
      <text>
        <t>Transaction coordinator fee, typically $300-$500.
======</t>
      </text>
    </comment>
    <comment ref="B21" authorId="0" shapeId="0">
      <text>
        <t>Total renovation budget — kitchen, bath, flooring, paint, exterior, etc.
======</t>
      </text>
    </comment>
    <comment ref="E21" authorId="0" shapeId="0">
      <text>
        <t>Initial setup costs: smart locks, security cameras, router, linens staging, etc.
======</t>
      </text>
    </comment>
    <comment ref="B22" authorId="0" shapeId="0">
      <text>
        <t>Rule of thumb: $12-$20/sqft depending on quality level. $3,000 base covers essentials.
======</t>
      </text>
    </comment>
    <comment ref="B23" authorId="0" shapeId="0">
      <text>
        <t>If you have a specific furnishing budget, enter it here. Otherwise leave blank to use the $/sqft calculation.
======</t>
      </text>
    </comment>
    <comment ref="B24" authorId="0" shapeId="0">
      <text>
        <t>LLC formation, operating agreement, registered agent fees.
======</t>
      </text>
    </comment>
    <comment ref="E24" authorId="0" shapeId="0">
      <text>
        <t>STR permit application fees, business license, TOT registration.
======</t>
      </text>
    </comment>
    <comment ref="B25" authorId="0" shapeId="0">
      <text>
        <t>Professional photography, virtual staging, drone shots, floor plans.
======</t>
      </text>
    </comment>
    <comment ref="E29" authorId="0" shapeId="0">
      <text>
        <t>Current mortgage interest rate. Investment properties typically 0.5-1% higher than primary residence.
======</t>
      </text>
    </comment>
    <comment ref="B30" authorId="0" shapeId="0">
      <text>
        <t>Standard is 30 years. 15-year has higher payments but lower total interest.
======</t>
      </text>
    </comment>
    <comment ref="E30" authorId="0" shapeId="0">
      <text>
        <t>Interest-only loans have lower monthly payments but no principal paydown. Enter Yes or No.
======</t>
      </text>
    </comment>
    <comment ref="E31" authorId="0" shapeId="0">
      <text>
        <t>Private Mortgage Insurance — required if down payment &lt; 20%. Typically 0.5-1% of loan annually.
======</t>
      </text>
    </comment>
    <comment ref="B36" authorId="0" shapeId="0">
      <text>
        <t>Average Daily Rate from AirDNA Rentalizer. Includes cleaning fees baked into the nightly rate calculation.
======</t>
      </text>
    </comment>
    <comment ref="E36" authorId="0" shapeId="0">
      <text>
        <t>Occupancy rate from AirDNA. This is booked nights / available nights.
======</t>
      </text>
    </comment>
    <comment ref="B37" authorId="0" shapeId="0">
      <text>
        <t>Number of days the property is available for booking. 365 for full-year availability.
======</t>
      </text>
    </comment>
    <comment ref="E37" authorId="0" shapeId="0">
      <text>
        <t>Override the ADR×Days×Occ calculation with a specific gross revenue number if you have better data.
======</t>
      </text>
    </comment>
    <comment ref="B38" authorId="0" shapeId="0">
      <text>
        <t>AirDNA Gross Revenue = ADR × Active Days × Occupancy. Includes cleaning fee income but does NOT subtract OTA platform fees.
======</t>
      </text>
    </comment>
    <comment ref="B41" authorId="0" shapeId="0">
      <text>
        <t>Percentage of total bookings coming through Airbnb. Most STRs are 60-80% Airbnb.
======</t>
      </text>
    </comment>
    <comment ref="E41" authorId="0" shapeId="0">
      <text>
        <t>Airbnb host service fee on the split-fee model. Typically 3%.
======</t>
      </text>
    </comment>
    <comment ref="B42" authorId="0" shapeId="0">
      <text>
        <t>Percentage of bookings from VRBO/HomeAway.
======</t>
      </text>
    </comment>
    <comment ref="E42" authorId="0" shapeId="0">
      <text>
        <t>VRBO host service fee. Typically 5%.
======</t>
      </text>
    </comment>
    <comment ref="B43" authorId="0" shapeId="0">
      <text>
        <t>Percentage of bookings from Booking.com.
======</t>
      </text>
    </comment>
    <comment ref="E43" authorId="0" shapeId="0">
      <text>
        <t>Booking.com commission rate. Typically 15-18%.
======</t>
      </text>
    </comment>
    <comment ref="B44" authorId="0" shapeId="0">
      <text>
        <t>Direct bookings through your own website. Lowest cost channel.
======</t>
      </text>
    </comment>
    <comment ref="E44" authorId="0" shapeId="0">
      <text>
        <t>Payment processing fee for direct bookings (Stripe, Square). Typically 2.9-3%.
======</t>
      </text>
    </comment>
    <comment ref="B45" authorId="0" shapeId="0">
      <text>
        <t>Weighted average of all platform fees based on your channel mix. This is deducted from AirDNA gross revenue.
======</t>
      </text>
    </comment>
    <comment ref="B48" authorId="0" shapeId="0">
      <text>
        <t>Average number of guest turnovers per month. Calculate from avg length of stay: 30 days / avg stay length.
======</t>
      </text>
    </comment>
    <comment ref="E48" authorId="0" shapeId="0">
      <text>
        <t>Cost to pay your cleaning team per turnover. Varies by size: 1BR=$100-150, 2BR=$150-200, 3BR=$200-275, 4BR+=$275-400.
======</t>
      </text>
    </comment>
    <comment ref="B49" authorId="0" shapeId="0">
      <text>
        <t>Total annual cost to pay cleaners. This is deducted from gross revenue since AirDNA includes cleaning fee income.
======</t>
      </text>
    </comment>
    <comment ref="B52" authorId="0" shapeId="0">
      <text>
        <t>Starting point: the full AirDNA projection including cleaning fees.
======</t>
      </text>
    </comment>
    <comment ref="B53" authorId="0" shapeId="0">
      <text>
        <t>Platform fees that OTAs deduct before paying you.
======</t>
      </text>
    </comment>
    <comment ref="B54" authorId="0" shapeId="0">
      <text>
        <t>What you pay cleaners — offset against the cleaning fee income baked into AirDNA revenue.
======</t>
      </text>
    </comment>
    <comment ref="B55" authorId="0" shapeId="0">
      <text>
        <t>This is what actually hits the host's bank account from the OTAs. Management fee is calculated on this amount.
======</t>
      </text>
    </comment>
    <comment ref="B56" authorId="0" shapeId="0">
      <text>
        <t>Ascend management fee percentage. Applied to Host Accommodation Revenue (after OTA fees and cleaning payouts).
======</t>
      </text>
    </comment>
    <comment ref="B57" authorId="0" shapeId="0">
      <text>
        <t>What the property owner actually keeps after platform fees, cleaning, and management.
======</t>
      </text>
    </comment>
    <comment ref="B60" authorId="0" shapeId="0">
      <text>
        <t>Annual property tax from county assessor. Check the listing or county website.
======</t>
      </text>
    </comment>
    <comment ref="E60" authorId="0" shapeId="0">
      <text>
        <t>Annual homeowners/landlord insurance. STR policies typically run $2,000-$5,000/yr.
======</t>
      </text>
    </comment>
    <comment ref="B61" authorId="0" shapeId="0">
      <text>
        <t>Homeowners Association dues if applicable. Enter annual total.
======</t>
      </text>
    </comment>
    <comment ref="E61" authorId="0" shapeId="0">
      <text>
        <t>Total annual mortgage payment including principal, interest, and PMI.
======</t>
      </text>
    </comment>
    <comment ref="B65" authorId="0" shapeId="0">
      <text>
        <t>Combined CAPEX reserves + routine maintenance. Covers appliance replacement, HVAC, plumbing, roof reserves, and regular repairs.
======</t>
      </text>
    </comment>
    <comment ref="B66" authorId="0" shapeId="0">
      <text>
        <t>Cost per turnover for consumable supplies: toiletries, coffee, paper goods, trash bags, cleaning supplies top-up.
======</t>
      </text>
    </comment>
    <comment ref="B67" authorId="0" shapeId="0">
      <text>
        <t>Monthly budget for guest refunds, partial credits, welcome gifts, and guest experience items.
======</t>
      </text>
    </comment>
    <comment ref="B68" authorId="0" shapeId="0">
      <text>
        <t>Monthly utility costs: electric, gas, water, sewer, trash. Desert/mountain properties may run higher for HVAC.
======</t>
      </text>
    </comment>
    <comment ref="B69" authorId="0" shapeId="0">
      <text>
        <t>High-speed internet is essential for STR. Budget for business-grade service.
======</t>
      </text>
    </comment>
    <comment ref="B70" authorId="0" shapeId="0">
      <text>
        <t>Monthly landscaping, yard maintenance, or snow removal depending on market.
======</t>
      </text>
    </comment>
    <comment ref="B71" authorId="0" shapeId="0">
      <text>
        <t>Monthly pool/hot tub chemical service and maintenance. Required for properties with water features.
======</t>
      </text>
    </comment>
    <comment ref="B85" authorId="0" shapeId="0">
      <text>
        <t>Your marginal federal + state tax bracket. Common brackets: 22%, 24%, 32%, 35%.
======</t>
      </text>
    </comment>
    <comment ref="E85" authorId="0" shapeId="0">
      <text>
        <t>Percentage of purchase price allocated to land (not depreciable). Typically 15-25%. Check county assessor for land/improvement split.
======</t>
      </text>
    </comment>
    <comment ref="B87" authorId="0" shapeId="0">
      <text>
        <t>IRS allows straight-line depreciation of the building (not land) over 27.5 years for residential rental property.
======</t>
      </text>
    </comment>
    <comment ref="B89" authorId="0" shapeId="0">
      <text>
        <t>IRS allows up to $5,000 in startup costs to be deducted in Year 1. Remainder amortizes over 15 years.
======</t>
      </text>
    </comment>
    <comment ref="B95" authorId="0" shapeId="0">
      <text>
        <t>======
ID#AAAB2ptHEhw
Ascend    (2026-04-02 16:44:02)
This section estimates the Year 1 tax benefit from bonus depreciation available to STR investors who qualify as Real Estate Professionals (REPS) or who materially participate and use cost segregation.
Short-term rentals are unique: unlike traditional rentals, STRs with an average guest stay of 7 days or less are not classified as passive rental activity under IRS rules. This means STR losses (including depreciation) can offset W-2 and other active income — without needing REPS status.
The write-off range shown here is an estimate. Actual figures depend on a cost segregation study, the investor's tax situation, and current bonus depreciation rates. Always confirm with a CPA.</t>
      </text>
    </comment>
    <comment ref="B96" authorId="0" shapeId="0">
      <text>
        <t>Lower bound of estimated Year 1 bonus depreciation deduction.
Formula: MIN of two estimation methods:
Method A: (Purchase Price × 10%) × 2
Method B: (Purchase Price − 25% land) × 25%
These approximate the accelerated depreciation captured through a cost segregation study, which reclassifies building components (appliances, flooring, landscaping, fixtures) from 27.5-year to 5, 7, or 15-year property — making them eligible for bonus depreciation in Year 1.
======</t>
      </text>
    </comment>
    <comment ref="E96" authorId="0" shapeId="0">
      <text>
        <t>Upper bound of estimated Year 1 bonus depreciation deduction.
Formula: MAX of the two estimation methods.
Method A: (Purchase Price × 10%) × 2
Method B: (Purchase Price − 25% land) × 25%
The actual write-off from a cost segregation study could fall above or below this range depending on property age, renovation scope, and the percentage of components that qualify for accelerated depreciation.
======</t>
      </text>
    </comment>
    <comment ref="B97" authorId="0" shapeId="0">
      <text>
        <t>The actual cash tax savings from the low-end write-off estimate.
This is the dollar amount the investor saves on their tax bill in Year 1. Because STRs with avg stays under 7 days are classified as active income (not passive), these deductions can offset W-2 wages, business income, and other active earnings — not just rental income.
======</t>
      </text>
    </comment>
    <comment ref="E97" authorId="0" shapeId="0">
      <text>
        <t>The actual cash tax savings from the high-end write-off estimate.
======</t>
      </text>
    </comment>
    <comment ref="B99" authorId="0" shapeId="0">
      <text>
        <t>Annual cash flow after adding the estimated Year 1 tax savings from bonus depreciation to the pre-tax cash flow.
This represents the total Year 1 economic benefit: the property's operating cash flow PLUS the tax refund or reduction from accelerated depreciation.
Note: The bonus depreciation benefit is heaviest in Year 1 and reduces in subsequent years as those components are fully depreciated.
======</t>
      </text>
    </comment>
    <comment ref="E99" authorId="0" shapeId="0">
      <text>
        <t>Annual cash flow using the high-end tax savings estimate.
======</t>
      </text>
    </comment>
    <comment ref="B100" authorId="0" shapeId="0">
      <text>
        <t>Monthly cash flow including the tax savings spread across 12 months.
In practice, the tax benefit arrives as a lump sum (refund or reduced quarterly estimated payments), not monthly — but this shows the effective monthly benefit for comparison.
======</t>
      </text>
    </comment>
    <comment ref="E100" authorId="0" shapeId="0">
      <text>
        <t>Monthly equivalent using the high-end estimate.
======</t>
      </text>
    </comment>
    <comment ref="B101" authorId="0" shapeId="0">
      <text>
        <t>Cash-on-Cash Return including the Year 1 bonus depreciation tax benefit.
Formula: Post-Tax Cash Flow with Write-Off / Total Cash Invested
This is the headline metric for investors evaluating the full Year 1 return. Compare this to the Pre-Tax COC (which excludes tax benefits) to see how much bonus depreciation improves the deal.
Important: This elevated return reflects Year 1 only. As bonus depreciation is used up, the COC will trend toward the Pre-Tax COC in subsequent years.
======</t>
      </text>
    </comment>
    <comment ref="E101" authorId="0" shapeId="0">
      <text>
        <t>High-end Post-Tax COC. The actual return likely falls between the Low and High estimates shown.
======</t>
      </text>
    </comment>
    <comment ref="B102" authorId="0" shapeId="0">
      <text>
        <t>Deal rating based on the conservative (low) Post-Tax COC with Write-Off.
Uses the same scale as the standard COC rating:
≥ 20% → ACT NOW
15–20% → STRONG
10–15% → GOOD
5–10% → MODERATE
&lt; 5% → LOW
Rating is based on the LOW estimate for a conservative assessment.
======</t>
      </text>
    </comment>
    <comment ref="E102" authorId="0" shapeId="0">
      <text>
        <t>Deal rating based on the conservative (high) Post-Tax COC with Write-Off.
Uses the same scale as the standard COC rating:
≥ 20% → ACT NOW
15–20% → STRONG
10–15% → GOOD
5–10% → MODERATE
&lt; 5% → LOW
Rating is based on the HIGH estimate for a conservative assessment.
======</t>
      </text>
    </comment>
    <comment ref="B106" authorId="0" shapeId="0">
      <text>
        <t>Cash-on-Cash Return = Annual Pre-Tax Cash Flow / Total Cash Invested. The primary deal metric.
======</t>
      </text>
    </comment>
    <comment ref="B108" authorId="0" shapeId="0">
      <text>
        <t>Cap Rate = NOI / Purchase Price. Measures property return independent of financing.
======</t>
      </text>
    </comment>
    <comment ref="E108" authorId="0" shapeId="0">
      <text>
        <t>Debt Service Coverage Ratio = NOI / Annual Debt Payments. Lenders want &gt; 1.25x.
======</t>
      </text>
    </comment>
    <comment ref="B110" authorId="0" shapeId="0">
      <text>
        <t>The occupancy rate needed to cover all expenses (fixed + variable + debt). Lower is better — more margin of safety.
======</t>
      </text>
    </comment>
    <comment ref="E110" authorId="0" shapeId="0">
      <text>
        <t>Cash reserve recommended before closing. Covers 6 months of PITI in case of vacancy or emergency.
======</t>
      </text>
    </comment>
    <comment ref="B111" authorId="0" shapeId="0">
      <text>
        <t>Number of months to recover total cash invested from monthly cash flow. N/A if cash flow is negative.
======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4" authorId="0" shapeId="0">
      <text>
        <t>Annual rate at which STR revenue is expected to grow. 3% is conservative; strong markets may see 5-7%.
======</t>
      </text>
    </comment>
    <comment ref="D4" authorId="0" shapeId="0">
      <text>
        <t>Annual rate at which operating expenses increase. Typically tracks inflation at 2-4%.
======</t>
      </text>
    </comment>
    <comment ref="G4" authorId="0" shapeId="0">
      <text>
        <t>Annual property value appreciation rate. National average ~3-4%, hot markets may be higher.
======</t>
      </text>
    </comment>
    <comment ref="J4" authorId="0" shapeId="0">
      <text>
        <t>Total selling costs as % of sale price: agent commissions (5-6%) + closing costs (1-2%).
======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3" authorId="0" shapeId="0">
      <text>
        <t>Base ADR pulled from the main analyzer. The grid tests ADR variations of ±$25, ±$50, ±$75.
======</t>
      </text>
    </comment>
    <comment ref="B4" authorId="0" shapeId="0">
      <text>
        <t>Base occupancy rate. The grid tests occupancy from 50% to 80% in 5% increments.
======</t>
      </text>
    </comment>
    <comment ref="B5" authorId="0" shapeId="0">
      <text>
        <t>Total cash invested (down payment + closing + rehab + setup). COC is calculated against this.
======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FFFFC77C"/>
    <outlinePr summaryBelow="1" summaryRight="1"/>
    <pageSetUpPr/>
  </sheetPr>
  <dimension ref="A1:Z318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10" min="1" max="1"/>
    <col width="35.71" customWidth="1" style="110" min="2" max="2"/>
    <col width="18" customWidth="1" style="110" min="3" max="3"/>
    <col width="4" customWidth="1" style="110" min="4" max="4"/>
    <col width="36" customWidth="1" style="110" min="5" max="5"/>
    <col width="18" customWidth="1" style="110" min="6" max="6"/>
    <col width="8.710000000000001" customWidth="1" style="110" min="7" max="7"/>
  </cols>
  <sheetData>
    <row r="1" ht="19.5" customHeight="1" s="110">
      <c r="A1" s="28" t="n"/>
      <c r="B1" s="2" t="inlineStr">
        <is>
          <t>ASCEND STR DEAL ANALYZER</t>
        </is>
      </c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15" customHeight="1" s="110">
      <c r="A2" s="28" t="n"/>
      <c r="B2" s="3" t="inlineStr">
        <is>
          <t>Short-Term Rental Investment Underwriting</t>
        </is>
      </c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110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110">
      <c r="A4" s="28" t="n"/>
      <c r="B4" s="4" t="inlineStr">
        <is>
          <t xml:space="preserve">  PROPERTY OVERVIEW &amp; LINKS</t>
        </is>
      </c>
      <c r="C4" s="5" t="n"/>
      <c r="D4" s="5" t="n"/>
      <c r="E4" s="5" t="n"/>
      <c r="F4" s="5" t="n"/>
      <c r="G4" s="5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110">
      <c r="A5" s="28" t="n"/>
      <c r="B5" s="26" t="inlineStr">
        <is>
          <t>Property Address</t>
        </is>
      </c>
      <c r="C5" s="7" t="n"/>
      <c r="D5" s="8" t="n"/>
      <c r="E5" s="9" t="inlineStr">
        <is>
          <t>Analysis Date</t>
        </is>
      </c>
      <c r="F5" s="10">
        <f>TODAY()</f>
        <v/>
      </c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110">
      <c r="A6" s="28" t="n"/>
      <c r="B6" s="26" t="inlineStr">
        <is>
          <t>Listing Link (Redfin/Zillow)</t>
        </is>
      </c>
      <c r="C6" s="11" t="n"/>
      <c r="D6" s="8" t="n"/>
      <c r="E6" s="9" t="inlineStr">
        <is>
          <t>Market / City</t>
        </is>
      </c>
      <c r="F6" s="16" t="n"/>
      <c r="G6" s="28" t="n"/>
      <c r="H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110">
      <c r="A7" s="28" t="n"/>
      <c r="B7" s="37" t="inlineStr">
        <is>
          <t>AirDNA Report Link</t>
        </is>
      </c>
      <c r="C7" s="15" t="n"/>
      <c r="D7" s="8" t="n"/>
      <c r="E7" s="9" t="inlineStr">
        <is>
          <t>Property Type</t>
        </is>
      </c>
      <c r="F7" s="16" t="n"/>
      <c r="G7" s="28" t="n"/>
      <c r="H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110">
      <c r="A8" s="28" t="n"/>
      <c r="B8" s="26" t="inlineStr">
        <is>
          <t>Bedrooms</t>
        </is>
      </c>
      <c r="C8" s="16" t="n"/>
      <c r="D8" s="8" t="n"/>
      <c r="E8" s="9" t="inlineStr">
        <is>
          <t>Bathrooms</t>
        </is>
      </c>
      <c r="F8" s="16" t="n"/>
      <c r="G8" s="28" t="n"/>
      <c r="H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110">
      <c r="A9" s="28" t="n"/>
      <c r="B9" s="26" t="inlineStr">
        <is>
          <t>Square Footage</t>
        </is>
      </c>
      <c r="C9" s="16" t="n"/>
      <c r="D9" s="8" t="n"/>
      <c r="E9" s="9" t="inlineStr">
        <is>
          <t>Year Built</t>
        </is>
      </c>
      <c r="F9" s="16" t="n"/>
      <c r="G9" s="28" t="n"/>
      <c r="H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110">
      <c r="A10" s="28" t="n"/>
      <c r="B10" s="26" t="inlineStr">
        <is>
          <t>Lot Size</t>
        </is>
      </c>
      <c r="C10" s="16" t="n"/>
      <c r="D10" s="8" t="n"/>
      <c r="E10" s="9" t="inlineStr">
        <is>
          <t>Watch List / Amenities</t>
        </is>
      </c>
      <c r="F10" s="16" t="n"/>
      <c r="G10" s="28" t="n"/>
      <c r="H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110">
      <c r="A11" s="28" t="n"/>
      <c r="B11" s="17" t="inlineStr">
        <is>
          <t>Notes</t>
        </is>
      </c>
      <c r="C11" s="1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24.75" customHeight="1" s="110">
      <c r="A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110">
      <c r="A13" s="28" t="n"/>
      <c r="B13" s="4" t="inlineStr">
        <is>
          <t xml:space="preserve">  PURCHASE DETAILS</t>
        </is>
      </c>
      <c r="C13" s="19" t="n"/>
      <c r="D13" s="19" t="n"/>
      <c r="E13" s="19" t="n"/>
      <c r="F13" s="19" t="n"/>
      <c r="G13" s="5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110">
      <c r="A14" s="28" t="n"/>
      <c r="B14" s="26" t="inlineStr">
        <is>
          <t>Purchase Price</t>
        </is>
      </c>
      <c r="C14" s="23" t="n"/>
      <c r="D14" s="37" t="n"/>
      <c r="E14" s="26" t="inlineStr">
        <is>
          <t>After Repair Value (ARV)</t>
        </is>
      </c>
      <c r="F14" s="23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110">
      <c r="A15" s="28" t="n"/>
      <c r="B15" s="26" t="inlineStr">
        <is>
          <t>Down Payment %</t>
        </is>
      </c>
      <c r="C15" s="33" t="n">
        <v>0.25</v>
      </c>
      <c r="D15" s="37" t="n"/>
      <c r="E15" s="26" t="inlineStr">
        <is>
          <t>Down Payment $</t>
        </is>
      </c>
      <c r="F15" s="22">
        <f>C14*C15</f>
        <v/>
      </c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110">
      <c r="A16" s="28" t="n"/>
      <c r="B16" s="26" t="inlineStr">
        <is>
          <t>Closing Cost %</t>
        </is>
      </c>
      <c r="C16" s="33" t="n">
        <v>0.01</v>
      </c>
      <c r="D16" s="37" t="n"/>
      <c r="E16" s="26" t="inlineStr">
        <is>
          <t>Closing Costs $</t>
        </is>
      </c>
      <c r="F16" s="22">
        <f>C14*C16</f>
        <v/>
      </c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110">
      <c r="A17" s="28" t="n"/>
      <c r="B17" s="26" t="inlineStr">
        <is>
          <t>Agent Commissions</t>
        </is>
      </c>
      <c r="C17" s="23" t="n">
        <v>0</v>
      </c>
      <c r="D17" s="37" t="n"/>
      <c r="E17" s="26" t="inlineStr">
        <is>
          <t>Transaction Coordinator</t>
        </is>
      </c>
      <c r="F17" s="23" t="n">
        <v>0</v>
      </c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110">
      <c r="A18" s="28" t="n"/>
      <c r="B18" s="24" t="inlineStr">
        <is>
          <t>Total Cash to Close</t>
        </is>
      </c>
      <c r="C18" s="25">
        <f>F15+F16+C17+F17</f>
        <v/>
      </c>
      <c r="D18" s="37" t="n"/>
      <c r="E18" s="37" t="n"/>
      <c r="F18" s="37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110">
      <c r="A19" s="28" t="n"/>
      <c r="B19" s="37" t="n"/>
      <c r="C19" s="37" t="n"/>
      <c r="D19" s="37" t="n"/>
      <c r="E19" s="37" t="n"/>
      <c r="F19" s="37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110">
      <c r="A20" s="28" t="n"/>
      <c r="B20" s="4" t="inlineStr">
        <is>
          <t xml:space="preserve">  REHAB &amp; SETUP COSTS</t>
        </is>
      </c>
      <c r="C20" s="19" t="n"/>
      <c r="D20" s="19" t="n"/>
      <c r="E20" s="19" t="n"/>
      <c r="F20" s="19" t="n"/>
      <c r="G20" s="5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" customHeight="1" s="110">
      <c r="A21" s="28" t="n"/>
      <c r="B21" s="26" t="inlineStr">
        <is>
          <t>Rehab / Renovation</t>
        </is>
      </c>
      <c r="C21" s="23" t="n">
        <v>0</v>
      </c>
      <c r="D21" s="37" t="n"/>
      <c r="E21" s="26" t="inlineStr">
        <is>
          <t>Setup Expenses</t>
        </is>
      </c>
      <c r="F21" s="23" t="n">
        <v>3000</v>
      </c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" customHeight="1" s="110">
      <c r="A22" s="28" t="n"/>
      <c r="B22" s="26" t="inlineStr">
        <is>
          <t>Furnishings ($/sqft)</t>
        </is>
      </c>
      <c r="C22" s="23" t="n">
        <v>20</v>
      </c>
      <c r="D22" s="37" t="n"/>
      <c r="E22" s="26" t="inlineStr">
        <is>
          <t>Furnishings &amp; Guest Accesories Total</t>
        </is>
      </c>
      <c r="F22" s="40">
        <f>C9*C22</f>
        <v/>
      </c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" customHeight="1" s="110">
      <c r="A23" s="28" t="n"/>
      <c r="B23" s="26" t="inlineStr">
        <is>
          <t>Furnishings Override</t>
        </is>
      </c>
      <c r="C23" s="23" t="n"/>
      <c r="D23" s="37" t="n"/>
      <c r="E23" s="29" t="inlineStr">
        <is>
          <t>Leave blank to use $/sqft calc</t>
        </is>
      </c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" customHeight="1" s="110">
      <c r="A24" s="28" t="n"/>
      <c r="B24" s="26" t="inlineStr">
        <is>
          <t>Legal</t>
        </is>
      </c>
      <c r="C24" s="23" t="n">
        <v>1000</v>
      </c>
      <c r="D24" s="37" t="n"/>
      <c r="E24" s="26" t="inlineStr">
        <is>
          <t>STR Permits / Licenses</t>
        </is>
      </c>
      <c r="F24" s="23" t="n">
        <v>700</v>
      </c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" customHeight="1" s="110">
      <c r="A25" s="28" t="n"/>
      <c r="B25" s="26" t="inlineStr">
        <is>
          <t>Professional Photos / Staging</t>
        </is>
      </c>
      <c r="C25" s="23" t="n">
        <v>700</v>
      </c>
      <c r="D25" s="37" t="n"/>
      <c r="E25" s="37" t="n"/>
      <c r="F25" s="37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" customHeight="1" s="110">
      <c r="A26" s="28" t="n"/>
      <c r="B26" s="24" t="inlineStr">
        <is>
          <t>Total Setup Costs</t>
        </is>
      </c>
      <c r="C26" s="30">
        <f>C21+F21+IF(C23&gt;0,C23,F22)+C24+F24+C25</f>
        <v/>
      </c>
      <c r="D26" s="37" t="n"/>
      <c r="E26" s="37" t="n"/>
      <c r="F26" s="37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10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" customHeight="1" s="110">
      <c r="A28" s="28" t="n"/>
      <c r="B28" s="4" t="inlineStr">
        <is>
          <t xml:space="preserve">  FINANCING</t>
        </is>
      </c>
      <c r="C28" s="5" t="n"/>
      <c r="D28" s="5" t="n"/>
      <c r="E28" s="5" t="n"/>
      <c r="F28" s="5" t="n"/>
      <c r="G28" s="5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" customHeight="1" s="110">
      <c r="A29" s="28" t="n"/>
      <c r="B29" s="26" t="inlineStr">
        <is>
          <t>Loan Amount</t>
        </is>
      </c>
      <c r="C29" s="22">
        <f>C14-F15</f>
        <v/>
      </c>
      <c r="D29" s="37" t="n"/>
      <c r="E29" s="26" t="inlineStr">
        <is>
          <t>Interest Rate</t>
        </is>
      </c>
      <c r="F29" s="33" t="n">
        <v>0.07000000000000001</v>
      </c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" customHeight="1" s="110">
      <c r="A30" s="28" t="n"/>
      <c r="B30" s="26" t="inlineStr">
        <is>
          <t>Term (Years)</t>
        </is>
      </c>
      <c r="C30" s="16" t="n">
        <v>30</v>
      </c>
      <c r="D30" s="37" t="n"/>
      <c r="E30" s="26" t="inlineStr">
        <is>
          <t>Interest Only?</t>
        </is>
      </c>
      <c r="F30" s="16" t="inlineStr">
        <is>
          <t>No</t>
        </is>
      </c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" customHeight="1" s="110">
      <c r="A31" s="28" t="n"/>
      <c r="B31" s="26" t="inlineStr">
        <is>
          <t>Monthly Payment (P&amp;I)</t>
        </is>
      </c>
      <c r="C31" s="22">
        <f>IF(F30="Yes",C29*F29/12,-PMT(F29/12,C30*12,C29))</f>
        <v/>
      </c>
      <c r="D31" s="37" t="n"/>
      <c r="E31" s="26" t="inlineStr">
        <is>
          <t>PMI %</t>
        </is>
      </c>
      <c r="F31" s="33" t="n">
        <v>0</v>
      </c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 s="110">
      <c r="A32" s="28" t="n"/>
      <c r="B32" s="26" t="inlineStr">
        <is>
          <t>Monthly PMI</t>
        </is>
      </c>
      <c r="C32" s="22">
        <f>C29*F31/12</f>
        <v/>
      </c>
      <c r="D32" s="37" t="n"/>
      <c r="E32" s="26" t="inlineStr">
        <is>
          <t>Monthly PITI (est.)</t>
        </is>
      </c>
      <c r="F32" s="22">
        <f>C31+C32+C60/12+F60/12</f>
        <v/>
      </c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" customHeight="1" s="110">
      <c r="A33" s="28" t="n"/>
      <c r="B33" s="31" t="inlineStr">
        <is>
          <t>TOTAL CASH NEEDED</t>
        </is>
      </c>
      <c r="C33" s="32">
        <f>C18+C26</f>
        <v/>
      </c>
      <c r="D33" s="37" t="n"/>
      <c r="E33" s="37" t="n"/>
      <c r="F33" s="37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10">
      <c r="A34" s="28" t="n"/>
      <c r="B34" s="37" t="n"/>
      <c r="C34" s="37" t="n"/>
      <c r="D34" s="37" t="n"/>
      <c r="E34" s="37" t="n"/>
      <c r="F34" s="37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" customHeight="1" s="110">
      <c r="A35" s="28" t="n"/>
      <c r="B35" s="4" t="inlineStr">
        <is>
          <t xml:space="preserve">  STR REVENUE (from AirDNA)</t>
        </is>
      </c>
      <c r="C35" s="19" t="n"/>
      <c r="D35" s="19" t="n"/>
      <c r="E35" s="19" t="n"/>
      <c r="F35" s="19" t="n"/>
      <c r="G35" s="5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" customHeight="1" s="110">
      <c r="A36" s="28" t="n"/>
      <c r="B36" s="26" t="inlineStr">
        <is>
          <t>Average Daily Rate (ADR)</t>
        </is>
      </c>
      <c r="C36" s="23" t="n"/>
      <c r="D36" s="37" t="n"/>
      <c r="E36" s="26" t="inlineStr">
        <is>
          <t>Occupancy Rate (calendar, of 365)</t>
        </is>
      </c>
      <c r="F36" s="33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" customHeight="1" s="110">
      <c r="A37" s="28" t="n"/>
      <c r="B37" s="26" t="inlineStr">
        <is>
          <t>Active Days</t>
        </is>
      </c>
      <c r="C37" s="16" t="n">
        <v>365</v>
      </c>
      <c r="D37" s="37" t="n"/>
      <c r="E37" s="29" t="inlineStr">
        <is>
          <t>Gross Revenue Override</t>
        </is>
      </c>
      <c r="F37" s="34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" customHeight="1" s="110">
      <c r="A38" s="28" t="n"/>
      <c r="B38" s="24" t="inlineStr">
        <is>
          <t>AirDNA Gross Revenue</t>
        </is>
      </c>
      <c r="C38" s="25">
        <f>IF(F37&gt;0,F37,C36*C37*F36+C49)</f>
        <v/>
      </c>
      <c r="D38" s="37" t="n"/>
      <c r="E38" s="29" t="inlineStr">
        <is>
          <t>Gross = nightly + cleaning fees (matches AirROI). Cleaning nets out below.</t>
        </is>
      </c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10">
      <c r="A39" s="28" t="n"/>
      <c r="B39" s="37" t="n"/>
      <c r="C39" s="37" t="n"/>
      <c r="D39" s="37" t="n"/>
      <c r="E39" s="37" t="n"/>
      <c r="F39" s="37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" customHeight="1" s="110">
      <c r="A40" s="28" t="n"/>
      <c r="B40" s="4" t="inlineStr">
        <is>
          <t xml:space="preserve">  CHANNEL MIX &amp; PLATFORM FEES</t>
        </is>
      </c>
      <c r="C40" s="19" t="n"/>
      <c r="D40" s="19" t="n"/>
      <c r="E40" s="35" t="inlineStr">
        <is>
          <t>Platform Fee Rate</t>
        </is>
      </c>
      <c r="F40" s="19" t="n"/>
      <c r="G40" s="19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" customHeight="1" s="110">
      <c r="A41" s="28" t="n"/>
      <c r="B41" s="26" t="inlineStr">
        <is>
          <t>Airbnb (% of bookings)</t>
        </is>
      </c>
      <c r="C41" s="33" t="n">
        <v>0.7</v>
      </c>
      <c r="D41" s="37" t="n"/>
      <c r="E41" s="26" t="inlineStr">
        <is>
          <t>Airbnb Host Fee</t>
        </is>
      </c>
      <c r="F41" s="33" t="n">
        <v>0.15</v>
      </c>
      <c r="G41" s="37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" customHeight="1" s="110">
      <c r="A42" s="28" t="n"/>
      <c r="B42" s="26" t="inlineStr">
        <is>
          <t>VRBO (% of bookings)</t>
        </is>
      </c>
      <c r="C42" s="33" t="n">
        <v>0.15</v>
      </c>
      <c r="D42" s="37" t="n"/>
      <c r="E42" s="26" t="inlineStr">
        <is>
          <t>VRBO Host Fee</t>
        </is>
      </c>
      <c r="F42" s="33" t="n">
        <v>0.07000000000000001</v>
      </c>
      <c r="G42" s="37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" customHeight="1" s="110">
      <c r="A43" s="28" t="n"/>
      <c r="B43" s="26" t="inlineStr">
        <is>
          <t>Booking.com (% of bookings)</t>
        </is>
      </c>
      <c r="C43" s="33" t="n">
        <v>0.1</v>
      </c>
      <c r="D43" s="37" t="n"/>
      <c r="E43" s="26" t="inlineStr">
        <is>
          <t>Booking.com Commission</t>
        </is>
      </c>
      <c r="F43" s="33" t="n">
        <v>0.15</v>
      </c>
      <c r="G43" s="37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" customHeight="1" s="110">
      <c r="A44" s="28" t="n"/>
      <c r="B44" s="26" t="inlineStr">
        <is>
          <t>Direct Booking (% of bookings)</t>
        </is>
      </c>
      <c r="C44" s="33" t="n">
        <v>0.05</v>
      </c>
      <c r="D44" s="37" t="n"/>
      <c r="E44" s="26" t="inlineStr">
        <is>
          <t>Payment Processing Fee</t>
        </is>
      </c>
      <c r="F44" s="33" t="n">
        <v>0.029</v>
      </c>
      <c r="G44" s="37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" customHeight="1" s="110">
      <c r="A45" s="28" t="n"/>
      <c r="B45" s="24" t="inlineStr">
        <is>
          <t>Blended OTA Fee Rate</t>
        </is>
      </c>
      <c r="C45" s="36">
        <f>C41*F41+C42*F42+C43*F43+C44*F44</f>
        <v/>
      </c>
      <c r="D45" s="37" t="n"/>
      <c r="E45" s="24" t="inlineStr">
        <is>
          <t>Annual OTA Fees</t>
        </is>
      </c>
      <c r="F45" s="25">
        <f>C38*C45</f>
        <v/>
      </c>
      <c r="G45" s="37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10">
      <c r="A46" s="28" t="n"/>
      <c r="B46" s="37" t="n"/>
      <c r="C46" s="37" t="n"/>
      <c r="D46" s="37" t="n"/>
      <c r="E46" s="37" t="n"/>
      <c r="F46" s="37" t="n"/>
      <c r="G46" s="37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" customHeight="1" s="110">
      <c r="A47" s="28" t="n"/>
      <c r="B47" s="4" t="inlineStr">
        <is>
          <t xml:space="preserve">  CLEANING COSTS</t>
        </is>
      </c>
      <c r="C47" s="19" t="n"/>
      <c r="D47" s="19" t="n"/>
      <c r="E47" s="19" t="n"/>
      <c r="F47" s="19" t="n"/>
      <c r="G47" s="19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" customHeight="1" s="110">
      <c r="A48" s="28" t="n"/>
      <c r="B48" s="26" t="inlineStr">
        <is>
          <t>Turnovers / Month</t>
        </is>
      </c>
      <c r="C48" s="16" t="n">
        <v>5</v>
      </c>
      <c r="D48" s="37" t="n"/>
      <c r="E48" s="26" t="inlineStr">
        <is>
          <t>Cost Per Turnover</t>
        </is>
      </c>
      <c r="F48" s="23" t="n">
        <v>310</v>
      </c>
      <c r="G48" s="37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" customHeight="1" s="110">
      <c r="A49" s="28" t="n"/>
      <c r="B49" s="24" t="inlineStr">
        <is>
          <t>Annual Cleaning Payouts</t>
        </is>
      </c>
      <c r="C49" s="25">
        <f>C48*F48*12</f>
        <v/>
      </c>
      <c r="D49" s="37" t="n"/>
      <c r="E49" s="29" t="inlineStr">
        <is>
          <t>Cleaning is included in AirDNA revenue</t>
        </is>
      </c>
      <c r="F49" s="28" t="n"/>
      <c r="G49" s="37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10">
      <c r="A50" s="28" t="n"/>
      <c r="B50" s="37" t="n"/>
      <c r="C50" s="37" t="n"/>
      <c r="D50" s="37" t="n"/>
      <c r="E50" s="37" t="n"/>
      <c r="F50" s="37" t="n"/>
      <c r="G50" s="37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" customHeight="1" s="110">
      <c r="A51" s="28" t="n"/>
      <c r="B51" s="4" t="inlineStr">
        <is>
          <t xml:space="preserve">  REVENUE WATERFALL</t>
        </is>
      </c>
      <c r="C51" s="19" t="n"/>
      <c r="D51" s="19" t="n"/>
      <c r="E51" s="19" t="n"/>
      <c r="F51" s="19" t="n"/>
      <c r="G51" s="19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" customHeight="1" s="110">
      <c r="A52" s="28" t="n"/>
      <c r="B52" s="26" t="inlineStr">
        <is>
          <t>AirDNA Gross Revenue</t>
        </is>
      </c>
      <c r="C52" s="22">
        <f>C38</f>
        <v/>
      </c>
      <c r="D52" s="37" t="n"/>
      <c r="E52" s="37" t="n"/>
      <c r="F52" s="37" t="n"/>
      <c r="G52" s="37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" customHeight="1" s="110">
      <c r="A53" s="28" t="n"/>
      <c r="B53" s="26" t="inlineStr">
        <is>
          <t>Less: OTA Platform Fees</t>
        </is>
      </c>
      <c r="C53" s="22">
        <f>-F45</f>
        <v/>
      </c>
      <c r="D53" s="37" t="n"/>
      <c r="E53" s="37" t="n"/>
      <c r="F53" s="37" t="n"/>
      <c r="G53" s="37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" customHeight="1" s="110">
      <c r="A54" s="28" t="n"/>
      <c r="B54" s="26" t="inlineStr">
        <is>
          <t>Less: Cleaning Payouts</t>
        </is>
      </c>
      <c r="C54" s="22">
        <f>-C49</f>
        <v/>
      </c>
      <c r="D54" s="37" t="n"/>
      <c r="E54" s="37" t="n"/>
      <c r="F54" s="37" t="n"/>
      <c r="G54" s="37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" customHeight="1" s="110">
      <c r="A55" s="28" t="n"/>
      <c r="B55" s="38" t="inlineStr">
        <is>
          <t>Host Accommodation Revenue</t>
        </is>
      </c>
      <c r="C55" s="39">
        <f>C52+C53+C54</f>
        <v/>
      </c>
      <c r="D55" s="37" t="n"/>
      <c r="E55" s="37" t="n"/>
      <c r="F55" s="37" t="n"/>
      <c r="G55" s="37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" customHeight="1" s="110">
      <c r="A56" s="28" t="n"/>
      <c r="B56" s="26" t="inlineStr">
        <is>
          <t>Management Fee %</t>
        </is>
      </c>
      <c r="C56" s="33" t="n">
        <v>0.15</v>
      </c>
      <c r="D56" s="37" t="n"/>
      <c r="E56" s="26" t="inlineStr">
        <is>
          <t>Annual Management Fee $</t>
        </is>
      </c>
      <c r="F56" s="22">
        <f>C55*C56</f>
        <v/>
      </c>
      <c r="G56" s="37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" customHeight="1" s="110">
      <c r="A57" s="28" t="n"/>
      <c r="B57" s="24" t="inlineStr">
        <is>
          <t>Net Revenue to Owner</t>
        </is>
      </c>
      <c r="C57" s="25">
        <f>C55-F56</f>
        <v/>
      </c>
      <c r="D57" s="37" t="n"/>
      <c r="E57" s="37" t="n"/>
      <c r="F57" s="37" t="n"/>
      <c r="G57" s="37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10">
      <c r="A58" s="28" t="n"/>
      <c r="B58" s="37" t="n"/>
      <c r="C58" s="37" t="n"/>
      <c r="D58" s="37" t="n"/>
      <c r="E58" s="37" t="n"/>
      <c r="F58" s="37" t="n"/>
      <c r="G58" s="37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" customHeight="1" s="110">
      <c r="A59" s="28" t="n"/>
      <c r="B59" s="4" t="inlineStr">
        <is>
          <t xml:space="preserve">  FIXED EXPENSES</t>
        </is>
      </c>
      <c r="C59" s="19" t="n"/>
      <c r="D59" s="19" t="n"/>
      <c r="E59" s="19" t="n"/>
      <c r="F59" s="19" t="n"/>
      <c r="G59" s="19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" customHeight="1" s="110">
      <c r="A60" s="28" t="n"/>
      <c r="B60" s="26" t="inlineStr">
        <is>
          <t>Property Taxes (annual)</t>
        </is>
      </c>
      <c r="C60" s="23" t="n"/>
      <c r="D60" s="37" t="n"/>
      <c r="E60" s="26" t="inlineStr">
        <is>
          <t>Insurance (annual)</t>
        </is>
      </c>
      <c r="F60" s="23" t="n"/>
      <c r="G60" s="37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" customHeight="1" s="110">
      <c r="A61" s="28" t="n"/>
      <c r="B61" s="26" t="inlineStr">
        <is>
          <t>HOA (annual)</t>
        </is>
      </c>
      <c r="C61" s="23" t="n"/>
      <c r="D61" s="37" t="n"/>
      <c r="E61" s="26" t="inlineStr">
        <is>
          <t>Debt Service (annual)</t>
        </is>
      </c>
      <c r="F61" s="22">
        <f>(C31+C32)*12</f>
        <v/>
      </c>
      <c r="G61" s="37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" customHeight="1" s="110">
      <c r="A62" s="28" t="n"/>
      <c r="B62" s="24" t="inlineStr">
        <is>
          <t>Total Fixed Expenses</t>
        </is>
      </c>
      <c r="C62" s="25">
        <f>C60+F60+C61+F61</f>
        <v/>
      </c>
      <c r="D62" s="37" t="n"/>
      <c r="E62" s="37" t="n"/>
      <c r="F62" s="37" t="n"/>
      <c r="G62" s="37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10">
      <c r="A63" s="28" t="n"/>
      <c r="B63" s="37" t="n"/>
      <c r="C63" s="37" t="n"/>
      <c r="D63" s="37" t="n"/>
      <c r="E63" s="37" t="n"/>
      <c r="F63" s="37" t="n"/>
      <c r="G63" s="37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" customHeight="1" s="110">
      <c r="A64" s="28" t="n"/>
      <c r="B64" s="4" t="inlineStr">
        <is>
          <t xml:space="preserve">  VARIABLE OPERATING EXPENSES</t>
        </is>
      </c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" customHeight="1" s="110">
      <c r="A65" s="28" t="n"/>
      <c r="B65" s="26" t="inlineStr">
        <is>
          <t>Repairs &amp; Reserves (monthly)</t>
        </is>
      </c>
      <c r="C65" s="23" t="n">
        <v>200</v>
      </c>
      <c r="D65" s="37" t="n"/>
      <c r="E65" s="26" t="inlineStr">
        <is>
          <t>Annual $</t>
        </is>
      </c>
      <c r="F65" s="40">
        <f>C65*12</f>
        <v/>
      </c>
      <c r="G65" s="37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" customHeight="1" s="110">
      <c r="A66" s="28" t="n"/>
      <c r="B66" s="26" t="inlineStr">
        <is>
          <t>Supplies (per turnover)</t>
        </is>
      </c>
      <c r="C66" s="23" t="n">
        <v>25</v>
      </c>
      <c r="D66" s="37" t="n"/>
      <c r="E66" s="26" t="inlineStr">
        <is>
          <t>Annual $</t>
        </is>
      </c>
      <c r="F66" s="40">
        <f>C66*C48*12</f>
        <v/>
      </c>
      <c r="G66" s="37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" customHeight="1" s="110">
      <c r="A67" s="28" t="n"/>
      <c r="B67" s="26" t="inlineStr">
        <is>
          <t>Refunds &amp; Guest Gifts (monthly)</t>
        </is>
      </c>
      <c r="C67" s="23" t="n">
        <v>50</v>
      </c>
      <c r="D67" s="37" t="n"/>
      <c r="E67" s="26" t="inlineStr">
        <is>
          <t>Annual $</t>
        </is>
      </c>
      <c r="F67" s="40">
        <f>C67*12</f>
        <v/>
      </c>
      <c r="G67" s="37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" customHeight="1" s="110">
      <c r="A68" s="28" t="n"/>
      <c r="B68" s="26" t="inlineStr">
        <is>
          <t>Utilities (monthly)</t>
        </is>
      </c>
      <c r="C68" s="23" t="n">
        <v>250</v>
      </c>
      <c r="D68" s="37" t="n"/>
      <c r="E68" s="26" t="inlineStr">
        <is>
          <t>Annual $</t>
        </is>
      </c>
      <c r="F68" s="40">
        <f>C68*12</f>
        <v/>
      </c>
      <c r="G68" s="37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" customHeight="1" s="110">
      <c r="A69" s="28" t="n"/>
      <c r="B69" s="26" t="inlineStr">
        <is>
          <t>Internet (monthly)</t>
        </is>
      </c>
      <c r="C69" s="23" t="n">
        <v>100</v>
      </c>
      <c r="D69" s="37" t="n"/>
      <c r="E69" s="26" t="inlineStr">
        <is>
          <t>Annual $</t>
        </is>
      </c>
      <c r="F69" s="40">
        <f>C69*12</f>
        <v/>
      </c>
      <c r="G69" s="37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" customHeight="1" s="110">
      <c r="A70" s="28" t="n"/>
      <c r="B70" s="26" t="inlineStr">
        <is>
          <t>Landscaping / Snow (monthly)</t>
        </is>
      </c>
      <c r="C70" s="23" t="n">
        <v>250</v>
      </c>
      <c r="D70" s="37" t="n"/>
      <c r="E70" s="26" t="inlineStr">
        <is>
          <t>Annual $</t>
        </is>
      </c>
      <c r="F70" s="40">
        <f>C70*12</f>
        <v/>
      </c>
      <c r="G70" s="37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" customHeight="1" s="110">
      <c r="A71" s="28" t="n"/>
      <c r="B71" s="26" t="inlineStr">
        <is>
          <t>Hot Tub / Pool Maintenance (monthly)</t>
        </is>
      </c>
      <c r="C71" s="23" t="n">
        <v>0</v>
      </c>
      <c r="D71" s="37" t="n"/>
      <c r="E71" s="26" t="inlineStr">
        <is>
          <t>Annual $</t>
        </is>
      </c>
      <c r="F71" s="40">
        <f>C71*12</f>
        <v/>
      </c>
      <c r="G71" s="37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" customHeight="1" s="110">
      <c r="A72" s="28" t="n"/>
      <c r="B72" s="24" t="inlineStr">
        <is>
          <t>Total Variable Expenses</t>
        </is>
      </c>
      <c r="C72" s="25">
        <f>SUM(F65:F71)</f>
        <v/>
      </c>
      <c r="D72" s="37" t="n"/>
      <c r="E72" s="37" t="n"/>
      <c r="F72" s="37" t="n"/>
      <c r="G72" s="37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" customHeight="1" s="110">
      <c r="A73" s="28" t="n"/>
      <c r="B73" s="26" t="inlineStr">
        <is>
          <t>OpEx as % of Host Accomm Rev</t>
        </is>
      </c>
      <c r="C73" s="41">
        <f>IF(C55&gt;0,(F56+C72+C60+F60+C61)/C55,0)</f>
        <v/>
      </c>
      <c r="D73" s="37" t="n"/>
      <c r="E73" s="37" t="n"/>
      <c r="F73" s="37" t="n"/>
      <c r="G73" s="37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10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" customHeight="1" s="110">
      <c r="A75" s="28" t="n"/>
      <c r="B75" s="4" t="inlineStr">
        <is>
          <t xml:space="preserve">  TOTAL EXPENSES &amp; CASH FLOW</t>
        </is>
      </c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" customHeight="1" s="110">
      <c r="A76" s="28" t="n"/>
      <c r="B76" s="26" t="inlineStr">
        <is>
          <t>Net Revenue to Owner</t>
        </is>
      </c>
      <c r="C76" s="22">
        <f>C57</f>
        <v/>
      </c>
      <c r="D76" s="37" t="n"/>
      <c r="E76" s="37" t="n"/>
      <c r="F76" s="37" t="n"/>
      <c r="G76" s="37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" customHeight="1" s="110">
      <c r="A77" s="28" t="n"/>
      <c r="B77" s="26" t="inlineStr">
        <is>
          <t>Less: Fixed Expenses (Tax+Ins+HOA)</t>
        </is>
      </c>
      <c r="C77" s="22">
        <f>C60+F60+C61</f>
        <v/>
      </c>
      <c r="D77" s="37" t="n"/>
      <c r="E77" s="37" t="n"/>
      <c r="F77" s="37" t="n"/>
      <c r="G77" s="37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" customHeight="1" s="110">
      <c r="A78" s="28" t="n"/>
      <c r="B78" s="26" t="inlineStr">
        <is>
          <t>Less: Variable Operating Expenses</t>
        </is>
      </c>
      <c r="C78" s="22">
        <f>C72</f>
        <v/>
      </c>
      <c r="D78" s="37" t="n"/>
      <c r="E78" s="37" t="n"/>
      <c r="F78" s="37" t="n"/>
      <c r="G78" s="37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" customHeight="1" s="110">
      <c r="A79" s="28" t="n"/>
      <c r="B79" s="38" t="inlineStr">
        <is>
          <t>NOI (Net Operating Income)</t>
        </is>
      </c>
      <c r="C79" s="39">
        <f>C76-C77-C78</f>
        <v/>
      </c>
      <c r="D79" s="37" t="n"/>
      <c r="E79" s="37" t="n"/>
      <c r="F79" s="37" t="n"/>
      <c r="G79" s="37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" customHeight="1" s="110">
      <c r="A80" s="28" t="n"/>
      <c r="B80" s="26" t="inlineStr">
        <is>
          <t>Less: Annual Debt Service</t>
        </is>
      </c>
      <c r="C80" s="22">
        <f>F61</f>
        <v/>
      </c>
      <c r="D80" s="37" t="n"/>
      <c r="E80" s="37" t="n"/>
      <c r="F80" s="37" t="n"/>
      <c r="G80" s="37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" customHeight="1" s="110">
      <c r="A81" s="28" t="n"/>
      <c r="B81" s="38" t="inlineStr">
        <is>
          <t>Pre-Tax Cash Flow (annual)</t>
        </is>
      </c>
      <c r="C81" s="39">
        <f>C79-C80</f>
        <v/>
      </c>
      <c r="D81" s="37" t="n"/>
      <c r="E81" s="37" t="n"/>
      <c r="F81" s="37" t="n"/>
      <c r="G81" s="37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" customHeight="1" s="110">
      <c r="A82" s="28" t="n"/>
      <c r="B82" s="24" t="inlineStr">
        <is>
          <t>Monthly Cash Flow</t>
        </is>
      </c>
      <c r="C82" s="25">
        <f>C81/12</f>
        <v/>
      </c>
      <c r="D82" s="37" t="n"/>
      <c r="E82" s="37" t="n"/>
      <c r="F82" s="37" t="n"/>
      <c r="G82" s="37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10">
      <c r="A83" s="28" t="n"/>
      <c r="B83" s="37" t="n"/>
      <c r="C83" s="37" t="n"/>
      <c r="D83" s="37" t="n"/>
      <c r="E83" s="37" t="n"/>
      <c r="F83" s="37" t="n"/>
      <c r="G83" s="37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" customHeight="1" s="110">
      <c r="A84" s="28" t="n"/>
      <c r="B84" s="4" t="inlineStr">
        <is>
          <t xml:space="preserve">  TAX DEDUCTIONS &amp; DEPRECIATION</t>
        </is>
      </c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" customHeight="1" s="110">
      <c r="A85" s="28" t="n"/>
      <c r="B85" s="26" t="inlineStr">
        <is>
          <t>Effective Tax Bracket</t>
        </is>
      </c>
      <c r="C85" s="42" t="n">
        <v>0.35</v>
      </c>
      <c r="D85" s="37" t="n"/>
      <c r="E85" s="26" t="inlineStr">
        <is>
          <t>Land Value (% of purchase)</t>
        </is>
      </c>
      <c r="F85" s="33" t="n">
        <v>0.2</v>
      </c>
      <c r="G85" s="37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" customHeight="1" s="110">
      <c r="A86" s="28" t="n"/>
      <c r="B86" s="26" t="inlineStr">
        <is>
          <t>Land Value ($)</t>
        </is>
      </c>
      <c r="C86" s="22">
        <f>C14*F85</f>
        <v/>
      </c>
      <c r="D86" s="37" t="n"/>
      <c r="E86" s="26" t="inlineStr">
        <is>
          <t>Building Value ($)</t>
        </is>
      </c>
      <c r="F86" s="22">
        <f>IF(F14&gt;0,F14-C86,C14-C86)</f>
        <v/>
      </c>
      <c r="G86" s="37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" customHeight="1" s="110">
      <c r="A87" s="28" t="n"/>
      <c r="B87" s="24" t="inlineStr">
        <is>
          <t>Annual Depreciation (27.5 yr)</t>
        </is>
      </c>
      <c r="C87" s="25">
        <f>F86/27.5</f>
        <v/>
      </c>
      <c r="D87" s="37" t="n"/>
      <c r="E87" s="37" t="n"/>
      <c r="F87" s="37" t="n"/>
      <c r="G87" s="37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" customHeight="1" s="110">
      <c r="A88" s="28" t="n"/>
      <c r="B88" s="26" t="inlineStr">
        <is>
          <t>Year 1 Interest (approx)</t>
        </is>
      </c>
      <c r="C88" s="22">
        <f>C29*F29</f>
        <v/>
      </c>
      <c r="D88" s="37" t="n"/>
      <c r="E88" s="26" t="inlineStr">
        <is>
          <t>Year 1 Principal Paydown</t>
        </is>
      </c>
      <c r="F88" s="22">
        <f>F61-C88</f>
        <v/>
      </c>
      <c r="G88" s="37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" customHeight="1" s="110">
      <c r="A89" s="28" t="n"/>
      <c r="B89" s="26" t="inlineStr">
        <is>
          <t>Deductible Startup Costs (Yr 1)</t>
        </is>
      </c>
      <c r="C89" s="22">
        <f>MIN(C26,5000)</f>
        <v/>
      </c>
      <c r="D89" s="37" t="n"/>
      <c r="E89" s="29" t="inlineStr">
        <is>
          <t>IRS allows $5K in Year 1, rest over 15yr</t>
        </is>
      </c>
      <c r="F89" s="37" t="n"/>
      <c r="G89" s="37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" customHeight="1" s="110">
      <c r="A90" s="28" t="n"/>
      <c r="B90" s="24" t="inlineStr">
        <is>
          <t>Taxable Rental Income</t>
        </is>
      </c>
      <c r="C90" s="25">
        <f>C79-C88-C87-C89</f>
        <v/>
      </c>
      <c r="D90" s="37" t="n"/>
      <c r="E90" s="37" t="n"/>
      <c r="F90" s="37" t="n"/>
      <c r="G90" s="37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" customHeight="1" s="110">
      <c r="A91" s="28" t="n"/>
      <c r="B91" s="26" t="inlineStr">
        <is>
          <t>Tax Owed (if positive)</t>
        </is>
      </c>
      <c r="C91" s="22">
        <f>IF(C90&gt;0,C90*C85,0)</f>
        <v/>
      </c>
      <c r="D91" s="37" t="n"/>
      <c r="E91" s="37" t="n"/>
      <c r="F91" s="37" t="n"/>
      <c r="G91" s="37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" customHeight="1" s="110">
      <c r="A92" s="28" t="n"/>
      <c r="B92" s="24" t="inlineStr">
        <is>
          <t>Post-Tax Cash Flow (Year 1)</t>
        </is>
      </c>
      <c r="C92" s="25">
        <f>C81-C91</f>
        <v/>
      </c>
      <c r="D92" s="37" t="n"/>
      <c r="E92" s="37" t="n"/>
      <c r="F92" s="37" t="n"/>
      <c r="G92" s="37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" customHeight="1" s="110">
      <c r="A93" s="28" t="n"/>
      <c r="B93" s="26" t="inlineStr">
        <is>
          <t>Tax Savings from Depreciation</t>
        </is>
      </c>
      <c r="C93" s="22">
        <f>C87*C85</f>
        <v/>
      </c>
      <c r="D93" s="37" t="n"/>
      <c r="E93" s="37" t="n"/>
      <c r="F93" s="37" t="n"/>
      <c r="G93" s="37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10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" customHeight="1" s="110">
      <c r="A95" s="28" t="n"/>
      <c r="B95" s="4" t="inlineStr">
        <is>
          <t xml:space="preserve">  ESTIMATED YEAR 1 BONUS DEPRECIATION TAX BENEFIT</t>
        </is>
      </c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" customHeight="1" s="110">
      <c r="A96" s="28" t="n"/>
      <c r="B96" s="26" t="inlineStr">
        <is>
          <t>Tax Write-Off Estimate (Low)</t>
        </is>
      </c>
      <c r="C96" s="43">
        <f>MIN((C14*0.1)*2, (C14-(C14*0.25))*0.25)</f>
        <v/>
      </c>
      <c r="D96" s="28" t="n"/>
      <c r="E96" s="26" t="inlineStr">
        <is>
          <t>Tax Write-Off Estimate (High)</t>
        </is>
      </c>
      <c r="F96" s="43">
        <f>MAX((C14*0.1)*2, (C14-(C14*0.25))*0.25)</f>
        <v/>
      </c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" customHeight="1" s="110">
      <c r="A97" s="28" t="n"/>
      <c r="B97" s="26" t="inlineStr">
        <is>
          <t>Year 1 Tax Savings (Low)</t>
        </is>
      </c>
      <c r="C97" s="43">
        <f>C96*C85</f>
        <v/>
      </c>
      <c r="D97" s="28" t="n"/>
      <c r="E97" s="26" t="inlineStr">
        <is>
          <t>Year 1 Tax Savings (High)</t>
        </is>
      </c>
      <c r="F97" s="43">
        <f>F96*C85</f>
        <v/>
      </c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10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" customHeight="1" s="110">
      <c r="A99" s="28" t="n"/>
      <c r="B99" s="24" t="inlineStr">
        <is>
          <t>Post-Tax CF with Write-Off (Low)</t>
        </is>
      </c>
      <c r="C99" s="44">
        <f>C81+C97</f>
        <v/>
      </c>
      <c r="D99" s="28" t="n"/>
      <c r="E99" s="24" t="inlineStr">
        <is>
          <t>Post-Tax CF with Write-Off (High)</t>
        </is>
      </c>
      <c r="F99" s="44">
        <f>C81+F97</f>
        <v/>
      </c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" customHeight="1" s="110">
      <c r="A100" s="28" t="n"/>
      <c r="B100" s="26" t="inlineStr">
        <is>
          <t>Monthly CF with Write-Off (Low)</t>
        </is>
      </c>
      <c r="C100" s="43">
        <f>C99/12</f>
        <v/>
      </c>
      <c r="D100" s="28" t="n"/>
      <c r="E100" s="26" t="inlineStr">
        <is>
          <t>Monthly CF with Write-Off (High)</t>
        </is>
      </c>
      <c r="F100" s="43">
        <f>F99/12</f>
        <v/>
      </c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" customHeight="1" s="110">
      <c r="A101" s="28" t="n"/>
      <c r="B101" s="24" t="inlineStr">
        <is>
          <t>Post-Tax COC with Write-Off (Low)</t>
        </is>
      </c>
      <c r="C101" s="45">
        <f>IF(C33&gt;0,C99/C33,0)</f>
        <v/>
      </c>
      <c r="D101" s="28" t="n"/>
      <c r="E101" s="24" t="inlineStr">
        <is>
          <t>Post-Tax COC with Write-Off (High)</t>
        </is>
      </c>
      <c r="F101" s="45">
        <f>IF(C33&gt;0,F99/C33,0)</f>
        <v/>
      </c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10">
      <c r="A102" s="28" t="n"/>
      <c r="B102" s="24" t="n"/>
      <c r="C102" s="24" t="n"/>
      <c r="D102" s="28" t="n"/>
      <c r="E102" s="24" t="n"/>
      <c r="F102" s="24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" customHeight="1" s="110">
      <c r="A103" s="28" t="n"/>
      <c r="B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" customHeight="1" s="110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" customHeight="1" s="110">
      <c r="A105" s="28" t="n"/>
      <c r="B105" s="4" t="inlineStr">
        <is>
          <t xml:space="preserve">  KEY RETURN METRICS</t>
        </is>
      </c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" customHeight="1" s="110">
      <c r="A106" s="28" t="n"/>
      <c r="B106" s="24" t="inlineStr">
        <is>
          <t>Cash-on-Cash Return (Pre-Tax)</t>
        </is>
      </c>
      <c r="C106" s="36">
        <f>IF(C33&gt;0,C81/C33,0)</f>
        <v/>
      </c>
      <c r="D106" s="37" t="n"/>
      <c r="E106" s="24" t="n"/>
      <c r="F106" s="46" t="n"/>
      <c r="G106" s="37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" customHeight="1" s="110">
      <c r="A107" s="28" t="n"/>
      <c r="B107" s="26" t="inlineStr">
        <is>
          <t>Post-Tax CoC Return</t>
        </is>
      </c>
      <c r="C107" s="41">
        <f>IF(C33&gt;0,(C92+C93)/C33,0)</f>
        <v/>
      </c>
      <c r="D107" s="37" t="n"/>
      <c r="E107" s="37" t="n"/>
      <c r="F107" s="37" t="n"/>
      <c r="G107" s="37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" customHeight="1" s="110">
      <c r="A108" s="28" t="n"/>
      <c r="B108" s="26" t="inlineStr">
        <is>
          <t>Cap Rate</t>
        </is>
      </c>
      <c r="C108" s="41">
        <f>IF(C14&gt;0,C79/C14,0)</f>
        <v/>
      </c>
      <c r="D108" s="37" t="n"/>
      <c r="E108" s="26" t="inlineStr">
        <is>
          <t>Debt Service Coverage (DSCR)</t>
        </is>
      </c>
      <c r="F108" s="47">
        <f>IF(F61&gt;0,C79/F61,0)</f>
        <v/>
      </c>
      <c r="G108" s="37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10">
      <c r="A109" s="28" t="n"/>
      <c r="B109" s="26" t="inlineStr">
        <is>
          <t>Return on Equity</t>
        </is>
      </c>
      <c r="C109" s="41">
        <f>IF((IF(F14&gt;0,F14,C14)-C29)&gt;0,C81/(IF(F14&gt;0,F14,C14)-C29),0)</f>
        <v/>
      </c>
      <c r="D109" s="37" t="n"/>
      <c r="E109" s="26" t="inlineStr">
        <is>
          <t>Gross Rent Multiplier (GRM)</t>
        </is>
      </c>
      <c r="F109" s="48">
        <f>IF(C38&gt;0,C14/C38,0)</f>
        <v/>
      </c>
      <c r="G109" s="37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10">
      <c r="A110" s="28" t="n"/>
      <c r="B110" s="26" t="inlineStr">
        <is>
          <t>Break-Even Occupancy</t>
        </is>
      </c>
      <c r="C110" s="41">
        <f>IF(C38&gt;0,(C60+F60+C61+F61+F65+F67+F68+F69+F70+F71)*F36/(C38-F45-C49-F56-F66),0)</f>
        <v/>
      </c>
      <c r="D110" s="37" t="n"/>
      <c r="E110" s="26" t="inlineStr">
        <is>
          <t>6 Months Reserve Needed</t>
        </is>
      </c>
      <c r="F110" s="22">
        <f>F32*6</f>
        <v/>
      </c>
      <c r="G110" s="37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10">
      <c r="A111" s="28" t="n"/>
      <c r="B111" s="26" t="inlineStr">
        <is>
          <t>Payback Period (months)</t>
        </is>
      </c>
      <c r="C111" s="49">
        <f>IF(C82&gt;0,ROUND(C33/C82,0),"N/A")</f>
        <v/>
      </c>
      <c r="D111" s="37" t="n"/>
      <c r="E111" s="37" t="n"/>
      <c r="F111" s="37" t="n"/>
      <c r="G111" s="37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10">
      <c r="A112" s="28" t="n"/>
      <c r="B112" s="37" t="n"/>
      <c r="C112" s="37" t="n"/>
      <c r="D112" s="37" t="n"/>
      <c r="E112" s="37" t="n"/>
      <c r="F112" s="37" t="n"/>
      <c r="G112" s="37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10">
      <c r="A113" s="28" t="n"/>
      <c r="B113" s="50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10">
      <c r="A114" s="28" t="n"/>
      <c r="B114" s="26" t="n"/>
      <c r="C114" s="51" t="n"/>
      <c r="D114" s="37" t="n"/>
      <c r="E114" s="37" t="n"/>
      <c r="F114" s="37" t="n"/>
      <c r="G114" s="37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10">
      <c r="A115" s="28" t="n"/>
      <c r="B115" s="26" t="n"/>
      <c r="C115" s="52" t="n"/>
      <c r="D115" s="37" t="n"/>
      <c r="E115" s="37" t="n"/>
      <c r="F115" s="37" t="n"/>
      <c r="G115" s="37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10">
      <c r="A116" s="28" t="n"/>
      <c r="B116" s="26" t="n"/>
      <c r="C116" s="53" t="n"/>
      <c r="D116" s="37" t="n"/>
      <c r="E116" s="37" t="n"/>
      <c r="F116" s="37" t="n"/>
      <c r="G116" s="37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10">
      <c r="A117" s="28" t="n"/>
      <c r="B117" s="26" t="n"/>
      <c r="C117" s="54" t="n"/>
      <c r="D117" s="37" t="n"/>
      <c r="E117" s="37" t="n"/>
      <c r="F117" s="37" t="n"/>
      <c r="G117" s="37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10">
      <c r="A118" s="28" t="n"/>
      <c r="B118" s="26" t="n"/>
      <c r="C118" s="55" t="n"/>
      <c r="D118" s="37" t="n"/>
      <c r="E118" s="37" t="n"/>
      <c r="F118" s="37" t="n"/>
      <c r="G118" s="37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10">
      <c r="A119" s="28" t="n"/>
      <c r="B119" s="37" t="n"/>
      <c r="C119" s="37" t="n"/>
      <c r="D119" s="37" t="n"/>
      <c r="E119" s="37" t="n"/>
      <c r="F119" s="37" t="n"/>
      <c r="G119" s="37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1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10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10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10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10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10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10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10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10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10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1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10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10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10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10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10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10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10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10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10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1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10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10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10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10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10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10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10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10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10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1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10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10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10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10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10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10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10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10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10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10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10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10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10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10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10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10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10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10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10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10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10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10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10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10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10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10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10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10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10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10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10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10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10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10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10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10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10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10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10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10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10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10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10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10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10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10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10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10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10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10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10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10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10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10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10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10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10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10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10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10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10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10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10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10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10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10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10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10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10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10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10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</row>
    <row r="222" ht="15.75" customHeight="1" s="110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</row>
    <row r="223" ht="15.75" customHeight="1" s="110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</row>
    <row r="224" ht="15.75" customHeight="1" s="110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</row>
    <row r="225" ht="15.75" customHeight="1" s="110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</row>
    <row r="226" ht="15.75" customHeight="1" s="110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</row>
    <row r="227" ht="15.75" customHeight="1" s="110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</row>
    <row r="228" ht="15.75" customHeight="1" s="110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</row>
    <row r="229" ht="15.75" customHeight="1" s="110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</row>
    <row r="230" ht="15.75" customHeight="1" s="110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</row>
    <row r="231" ht="15.75" customHeight="1" s="110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</row>
    <row r="232" ht="15.75" customHeight="1" s="110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</row>
    <row r="233" ht="15.75" customHeight="1" s="110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</row>
    <row r="234" ht="15.75" customHeight="1" s="110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</row>
    <row r="235" ht="15.75" customHeight="1" s="110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</row>
    <row r="236" ht="15.75" customHeight="1" s="110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</row>
    <row r="237" ht="15.75" customHeight="1" s="110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</row>
    <row r="238" ht="15.75" customHeight="1" s="110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</row>
    <row r="239" ht="15.75" customHeight="1" s="110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</row>
    <row r="240" ht="15.75" customHeight="1" s="110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</row>
    <row r="241" ht="15.75" customHeight="1" s="110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</row>
    <row r="242" ht="15.75" customHeight="1" s="110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</row>
    <row r="243" ht="15.75" customHeight="1" s="110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</row>
    <row r="244" ht="15.75" customHeight="1" s="110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</row>
    <row r="245" ht="15.75" customHeight="1" s="110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</row>
    <row r="246" ht="15.75" customHeight="1" s="110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</row>
    <row r="247" ht="15.75" customHeight="1" s="110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</row>
    <row r="248" ht="15.75" customHeight="1" s="110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</row>
    <row r="249" ht="15.75" customHeight="1" s="110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</row>
    <row r="250" ht="15.75" customHeight="1" s="110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</row>
    <row r="251" ht="15.75" customHeight="1" s="110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</row>
    <row r="252" ht="15.75" customHeight="1" s="110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</row>
    <row r="253" ht="15.75" customHeight="1" s="110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</row>
    <row r="254" ht="15.75" customHeight="1" s="110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</row>
    <row r="255" ht="15.75" customHeight="1" s="110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</row>
    <row r="256" ht="15.75" customHeight="1" s="110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</row>
    <row r="257" ht="15.75" customHeight="1" s="110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</row>
    <row r="258" ht="15.75" customHeight="1" s="110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</row>
    <row r="259" ht="15.75" customHeight="1" s="110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</row>
    <row r="260" ht="15.75" customHeight="1" s="110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</row>
    <row r="261" ht="15.75" customHeight="1" s="110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</row>
    <row r="262" ht="15.75" customHeight="1" s="110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</row>
    <row r="263" ht="15.75" customHeight="1" s="110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</row>
    <row r="264" ht="15.75" customHeight="1" s="110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</row>
    <row r="265" ht="15.75" customHeight="1" s="110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</row>
    <row r="266" ht="15.75" customHeight="1" s="110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</row>
    <row r="267" ht="15.75" customHeight="1" s="110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</row>
    <row r="268" ht="15.75" customHeight="1" s="110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</row>
    <row r="269" ht="15.75" customHeight="1" s="110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</row>
    <row r="270" ht="15.75" customHeight="1" s="110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</row>
    <row r="271" ht="15.75" customHeight="1" s="110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</row>
    <row r="272" ht="15.75" customHeight="1" s="110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</row>
    <row r="273" ht="15.75" customHeight="1" s="110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</row>
    <row r="274" ht="15.75" customHeight="1" s="110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</row>
    <row r="275" ht="15.75" customHeight="1" s="110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</row>
    <row r="276" ht="15.75" customHeight="1" s="110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</row>
    <row r="277" ht="15.75" customHeight="1" s="110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</row>
    <row r="278" ht="15.75" customHeight="1" s="110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</row>
    <row r="279" ht="15.75" customHeight="1" s="110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</row>
    <row r="280" ht="15.75" customHeight="1" s="110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</row>
    <row r="281" ht="15.75" customHeight="1" s="110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</row>
    <row r="282" ht="15.75" customHeight="1" s="110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</row>
    <row r="283" ht="15.75" customHeight="1" s="110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</row>
    <row r="284" ht="15.75" customHeight="1" s="110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</row>
    <row r="285" ht="15.75" customHeight="1" s="110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</row>
    <row r="286" ht="15.75" customHeight="1" s="110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</row>
    <row r="287" ht="15.75" customHeight="1" s="110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</row>
    <row r="288" ht="15.75" customHeight="1" s="110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</row>
    <row r="289" ht="15.75" customHeight="1" s="110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</row>
    <row r="290" ht="15.75" customHeight="1" s="110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</row>
    <row r="291" ht="15.75" customHeight="1" s="110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</row>
    <row r="292" ht="15.75" customHeight="1" s="110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</row>
    <row r="293" ht="15.75" customHeight="1" s="110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</row>
    <row r="294" ht="15.75" customHeight="1" s="110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</row>
    <row r="295" ht="15.75" customHeight="1" s="110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</row>
    <row r="296" ht="15.75" customHeight="1" s="110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</row>
    <row r="297" ht="15.75" customHeight="1" s="110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</row>
    <row r="298" ht="15.75" customHeight="1" s="110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</row>
    <row r="299" ht="15.75" customHeight="1" s="110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</row>
    <row r="300" ht="15.75" customHeight="1" s="110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</row>
    <row r="301" ht="15.75" customHeight="1" s="110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</row>
    <row r="302" ht="15.75" customHeight="1" s="110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</row>
    <row r="303" ht="15.75" customHeight="1" s="110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</row>
    <row r="304" ht="15.75" customHeight="1" s="110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</row>
    <row r="305" ht="15.75" customHeight="1" s="110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</row>
    <row r="306" ht="15.75" customHeight="1" s="110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</row>
    <row r="307" ht="15.75" customHeight="1" s="110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</row>
    <row r="308" ht="15.75" customHeight="1" s="110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</row>
    <row r="309" ht="15.75" customHeight="1" s="110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</row>
    <row r="310" ht="15.75" customHeight="1" s="110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</row>
    <row r="311" ht="15.75" customHeight="1" s="110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</row>
    <row r="312" ht="15.75" customHeight="1" s="110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</row>
    <row r="313" ht="15.75" customHeight="1" s="110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</row>
    <row r="314" ht="15.75" customHeight="1" s="110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</row>
    <row r="315" ht="15.75" customHeight="1" s="110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</row>
    <row r="316" ht="15.75" customHeight="1" s="110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</row>
    <row r="317" ht="15.75" customHeight="1" s="110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</row>
    <row r="318" ht="15.75" customHeight="1" s="110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</row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17">
    <mergeCell ref="B2:G2"/>
    <mergeCell ref="B95:G95"/>
    <mergeCell ref="B103:G103"/>
    <mergeCell ref="E38:F38"/>
    <mergeCell ref="H9:K9"/>
    <mergeCell ref="H8:K8"/>
    <mergeCell ref="B84:G84"/>
    <mergeCell ref="B1:G1"/>
    <mergeCell ref="H6:K6"/>
    <mergeCell ref="B105:G105"/>
    <mergeCell ref="B11:B12"/>
    <mergeCell ref="B75:G75"/>
    <mergeCell ref="H7:K7"/>
    <mergeCell ref="C11:F12"/>
    <mergeCell ref="B64:G64"/>
    <mergeCell ref="H10:K10"/>
    <mergeCell ref="B113:C113"/>
  </mergeCells>
  <conditionalFormatting sqref="F96">
    <cfRule type="cellIs" priority="1" operator="equal" dxfId="0">
      <formula>"ACT NOW"</formula>
    </cfRule>
    <cfRule type="cellIs" priority="2" operator="equal" dxfId="1">
      <formula>"LOW"</formula>
    </cfRule>
  </conditionalFormatting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D7A2"/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ColWidth="14.43" defaultRowHeight="15" customHeight="1"/>
  <cols>
    <col width="37" customWidth="1" style="110" min="1" max="1"/>
    <col width="16" customWidth="1" style="110" min="2" max="2"/>
    <col width="12" customWidth="1" style="110" min="3" max="3"/>
    <col width="11" customWidth="1" style="110" min="4" max="4"/>
    <col width="16" customWidth="1" style="110" min="5" max="6"/>
    <col width="8.710000000000001" customWidth="1" style="110" min="7" max="7"/>
  </cols>
  <sheetData>
    <row r="1" ht="42" customHeight="1" s="110">
      <c r="A1" s="107" t="inlineStr">
        <is>
          <t xml:space="preserve">  ASCEND  ·  RENOVATION CALCULATOR</t>
        </is>
      </c>
    </row>
    <row r="2" ht="18" customHeight="1" s="110">
      <c r="A2" s="58" t="inlineStr">
        <is>
          <t xml:space="preserve">  Blue cells = your inputs.  Scope defaults to Mid.  Amenities: change "Include?" to Yes to add to estimate.  Update rates anytime on the Rates tab.</t>
        </is>
      </c>
    </row>
    <row r="3">
      <c r="A3" s="76" t="n"/>
    </row>
    <row r="4" ht="21.75" customHeight="1" s="110">
      <c r="A4" s="60" t="inlineStr">
        <is>
          <t>Total Home Square Footage</t>
        </is>
      </c>
      <c r="B4" s="61">
        <f>'STR Deal Analyzer'!C9</f>
        <v/>
      </c>
      <c r="C4" s="62" t="inlineStr">
        <is>
          <t>sqft</t>
        </is>
      </c>
      <c r="D4" s="76" t="n"/>
      <c r="E4" s="76" t="n"/>
      <c r="F4" s="76" t="n"/>
      <c r="G4" s="76" t="n"/>
    </row>
    <row r="5" ht="15.75" customHeight="1" s="110">
      <c r="A5" s="76" t="n"/>
      <c r="B5" s="76" t="n"/>
      <c r="C5" s="76" t="n"/>
      <c r="D5" s="76" t="n"/>
      <c r="E5" s="76" t="n"/>
      <c r="F5" s="76" t="n"/>
      <c r="G5" s="76" t="n"/>
    </row>
    <row r="6" ht="24" customHeight="1" s="110">
      <c r="A6" s="63" t="inlineStr">
        <is>
          <t xml:space="preserve">  01 · FLOORING</t>
        </is>
      </c>
      <c r="G6" s="76" t="n"/>
    </row>
    <row r="7" ht="15.75" customHeight="1" s="110">
      <c r="A7" s="64" t="inlineStr">
        <is>
          <t>ITEM</t>
        </is>
      </c>
      <c r="B7" s="64" t="inlineStr">
        <is>
          <t>QUANTITY</t>
        </is>
      </c>
      <c r="C7" s="64" t="inlineStr">
        <is>
          <t>UNIT</t>
        </is>
      </c>
      <c r="D7" s="64" t="inlineStr">
        <is>
          <t>SCOPE</t>
        </is>
      </c>
      <c r="E7" s="64" t="inlineStr">
        <is>
          <t>RATE ($/UNIT)</t>
        </is>
      </c>
      <c r="F7" s="64" t="inlineStr">
        <is>
          <t>LINE TOTAL</t>
        </is>
      </c>
      <c r="G7" s="76" t="n"/>
    </row>
    <row r="8" ht="18" customHeight="1" s="110">
      <c r="A8" s="65" t="inlineStr">
        <is>
          <t>LVP Flooring</t>
        </is>
      </c>
      <c r="B8" s="71" t="n"/>
      <c r="C8" s="77" t="inlineStr">
        <is>
          <t>sqft</t>
        </is>
      </c>
      <c r="D8" s="72" t="inlineStr">
        <is>
          <t>Mid</t>
        </is>
      </c>
      <c r="E8" s="73" t="n">
        <v>5</v>
      </c>
      <c r="F8" s="79">
        <f>IF(OR(B8="",B8=0),0,B8*E8)</f>
        <v/>
      </c>
      <c r="G8" s="76" t="n"/>
    </row>
    <row r="9" ht="18" customHeight="1" s="110">
      <c r="A9" s="65" t="inlineStr">
        <is>
          <t>Tile Flooring</t>
        </is>
      </c>
      <c r="B9" s="71" t="n"/>
      <c r="C9" s="77" t="inlineStr">
        <is>
          <t>sqft</t>
        </is>
      </c>
      <c r="D9" s="72" t="inlineStr">
        <is>
          <t>Mid</t>
        </is>
      </c>
      <c r="E9" s="73">
        <f t="array" ref="E9">IFERROR(INDEX('Renovation Rates'!$B:$D,MATCH(A9,'Renovation Rates'!$A:$A,0),IF(D9="Low",1,IF(D9="Mid",2,3))),0)</f>
        <v/>
      </c>
      <c r="F9" s="79">
        <f>IF(OR(B9="",B9=0),0,B9*E9)</f>
        <v/>
      </c>
      <c r="G9" s="76" t="n"/>
    </row>
    <row r="10" ht="18" customHeight="1" s="110">
      <c r="A10" s="65" t="inlineStr">
        <is>
          <t>Carpet</t>
        </is>
      </c>
      <c r="B10" s="71" t="n"/>
      <c r="C10" s="77" t="inlineStr">
        <is>
          <t>sqft</t>
        </is>
      </c>
      <c r="D10" s="72" t="inlineStr">
        <is>
          <t>Mid</t>
        </is>
      </c>
      <c r="E10" s="73">
        <f t="array" ref="E10">IFERROR(INDEX('Renovation Rates'!$B:$D,MATCH(A10,'Renovation Rates'!$A:$A,0),IF(D10="Low",1,IF(D10="Mid",2,3))),0)</f>
        <v/>
      </c>
      <c r="F10" s="79">
        <f>IF(OR(B10="",B10=0),0,B10*E10)</f>
        <v/>
      </c>
      <c r="G10" s="76" t="n"/>
    </row>
    <row r="11" ht="21.75" customHeight="1" s="110">
      <c r="A11" s="74" t="inlineStr">
        <is>
          <t xml:space="preserve">  FLOORING SUBTOTAL</t>
        </is>
      </c>
      <c r="F11" s="75">
        <f>SUM(F8:F10)</f>
        <v/>
      </c>
      <c r="G11" s="76" t="n"/>
    </row>
    <row r="12" ht="9.75" customHeight="1" s="110">
      <c r="A12" s="76" t="n"/>
      <c r="B12" s="76" t="n"/>
      <c r="C12" s="76" t="n"/>
      <c r="D12" s="76" t="n"/>
      <c r="E12" s="76" t="n"/>
      <c r="F12" s="76" t="n"/>
      <c r="G12" s="76" t="n"/>
    </row>
    <row r="13" ht="24" customHeight="1" s="110">
      <c r="A13" s="63" t="inlineStr">
        <is>
          <t xml:space="preserve">  02 · INTERIOR PAINT</t>
        </is>
      </c>
      <c r="G13" s="76" t="n"/>
    </row>
    <row r="14" ht="15.75" customHeight="1" s="110">
      <c r="A14" s="64" t="inlineStr">
        <is>
          <t>ITEM</t>
        </is>
      </c>
      <c r="B14" s="64" t="inlineStr">
        <is>
          <t>QUANTITY</t>
        </is>
      </c>
      <c r="C14" s="64" t="inlineStr">
        <is>
          <t>UNIT</t>
        </is>
      </c>
      <c r="D14" s="64" t="inlineStr">
        <is>
          <t>SCOPE</t>
        </is>
      </c>
      <c r="E14" s="64" t="inlineStr">
        <is>
          <t>RATE ($/UNIT)</t>
        </is>
      </c>
      <c r="F14" s="64" t="inlineStr">
        <is>
          <t>LINE TOTAL</t>
        </is>
      </c>
      <c r="G14" s="76" t="n"/>
    </row>
    <row r="15" ht="18" customHeight="1" s="110">
      <c r="A15" s="65" t="inlineStr">
        <is>
          <t>Paint - Walls Only</t>
        </is>
      </c>
      <c r="B15" s="71" t="n"/>
      <c r="C15" s="77" t="inlineStr">
        <is>
          <t>sqft</t>
        </is>
      </c>
      <c r="D15" s="72" t="inlineStr">
        <is>
          <t>Mid</t>
        </is>
      </c>
      <c r="E15" s="73">
        <f t="array" ref="E15">IFERROR(INDEX('Renovation Rates'!$B:$D,MATCH(A15,'Renovation Rates'!$A:$A,0),IF(D15="Low",1,IF(D15="Mid",2,3))),0)</f>
        <v/>
      </c>
      <c r="F15" s="79">
        <f>IF(OR(B15="",B15=0),0,B15*E15)</f>
        <v/>
      </c>
      <c r="G15" s="76" t="n"/>
    </row>
    <row r="16" ht="18" customHeight="1" s="110">
      <c r="A16" s="65" t="inlineStr">
        <is>
          <t>Paint - Walls + Ceilings + Trim</t>
        </is>
      </c>
      <c r="B16" s="71" t="n"/>
      <c r="C16" s="77" t="inlineStr">
        <is>
          <t>sqft</t>
        </is>
      </c>
      <c r="D16" s="72" t="inlineStr">
        <is>
          <t>High</t>
        </is>
      </c>
      <c r="E16" s="73">
        <f t="array" ref="E16">IFERROR(INDEX('Renovation Rates'!$B:$D,MATCH(A16,'Renovation Rates'!$A:$A,0),IF(D16="Low",1,IF(D16="Mid",2,3))),0)</f>
        <v/>
      </c>
      <c r="F16" s="79">
        <f>IF(OR(B16="",B16=0),0,B16*E16)</f>
        <v/>
      </c>
      <c r="G16" s="76" t="n"/>
    </row>
    <row r="17" ht="21.75" customHeight="1" s="110">
      <c r="A17" s="74" t="inlineStr">
        <is>
          <t xml:space="preserve">  PAINT SUBTOTAL</t>
        </is>
      </c>
      <c r="F17" s="75">
        <f>SUM(F15:F16)</f>
        <v/>
      </c>
      <c r="G17" s="76" t="n"/>
    </row>
    <row r="18" ht="9.75" customHeight="1" s="110">
      <c r="A18" s="76" t="n"/>
      <c r="B18" s="76" t="n"/>
      <c r="C18" s="76" t="n"/>
      <c r="D18" s="76" t="n"/>
      <c r="E18" s="76" t="n"/>
      <c r="F18" s="76" t="n"/>
      <c r="G18" s="76" t="n"/>
    </row>
    <row r="19" ht="24" customHeight="1" s="110">
      <c r="A19" s="63" t="inlineStr">
        <is>
          <t xml:space="preserve">  03 · KITCHEN</t>
        </is>
      </c>
      <c r="G19" s="76" t="n"/>
    </row>
    <row r="20" ht="15.75" customHeight="1" s="110">
      <c r="A20" s="64" t="inlineStr">
        <is>
          <t>ITEM</t>
        </is>
      </c>
      <c r="B20" s="64" t="inlineStr">
        <is>
          <t>QUANTITY</t>
        </is>
      </c>
      <c r="C20" s="64" t="inlineStr">
        <is>
          <t>UNIT</t>
        </is>
      </c>
      <c r="D20" s="64" t="inlineStr">
        <is>
          <t>SCOPE</t>
        </is>
      </c>
      <c r="E20" s="64" t="inlineStr">
        <is>
          <t>RATE (FLAT)</t>
        </is>
      </c>
      <c r="F20" s="64" t="inlineStr">
        <is>
          <t>LINE TOTAL</t>
        </is>
      </c>
      <c r="G20" s="76" t="n"/>
    </row>
    <row r="21" ht="18" customHeight="1" s="110">
      <c r="A21" s="65" t="inlineStr">
        <is>
          <t>Kitchen - Refresh</t>
        </is>
      </c>
      <c r="B21" s="71" t="n">
        <v>0</v>
      </c>
      <c r="C21" s="77" t="inlineStr">
        <is>
          <t>flat</t>
        </is>
      </c>
      <c r="D21" s="72" t="inlineStr">
        <is>
          <t>Mid</t>
        </is>
      </c>
      <c r="E21" s="73">
        <f t="array" ref="E21">IFERROR(INDEX('Renovation Rates'!$B:$D,MATCH(A21,'Renovation Rates'!$A:$A,0),IF(D21="Low",1,IF(D21="Mid",2,3))),0)</f>
        <v/>
      </c>
      <c r="F21" s="79">
        <f>IF(OR(B21="",B21=0),0,B21*E21)</f>
        <v/>
      </c>
      <c r="G21" s="76" t="n"/>
    </row>
    <row r="22" ht="18" customHeight="1" s="110">
      <c r="A22" s="65" t="inlineStr">
        <is>
          <t>Kitchen - Partial Remodel</t>
        </is>
      </c>
      <c r="B22" s="71" t="n">
        <v>0</v>
      </c>
      <c r="C22" s="77" t="inlineStr">
        <is>
          <t>flat</t>
        </is>
      </c>
      <c r="D22" s="72" t="inlineStr">
        <is>
          <t>Mid</t>
        </is>
      </c>
      <c r="E22" s="73">
        <f t="array" ref="E22">IFERROR(INDEX('Renovation Rates'!$B:$D,MATCH(A22,'Renovation Rates'!$A:$A,0),IF(D22="Low",1,IF(D22="Mid",2,3))),0)</f>
        <v/>
      </c>
      <c r="F22" s="79">
        <f>IF(OR(B22="",B22=0),0,B22*E22)</f>
        <v/>
      </c>
      <c r="G22" s="76" t="n"/>
    </row>
    <row r="23" ht="18" customHeight="1" s="110">
      <c r="A23" s="65" t="inlineStr">
        <is>
          <t>Kitchen - Full Remodel</t>
        </is>
      </c>
      <c r="B23" s="71" t="n">
        <v>0</v>
      </c>
      <c r="C23" s="77" t="inlineStr">
        <is>
          <t>flat</t>
        </is>
      </c>
      <c r="D23" s="72" t="inlineStr">
        <is>
          <t>Mid</t>
        </is>
      </c>
      <c r="E23" s="73">
        <f t="array" ref="E23">IFERROR(INDEX('Renovation Rates'!$B:$D,MATCH(A23,'Renovation Rates'!$A:$A,0),IF(D23="Low",1,IF(D23="Mid",2,3))),0)</f>
        <v/>
      </c>
      <c r="F23" s="79">
        <f>IF(OR(B23="",B23=0),0,B23*E23)</f>
        <v/>
      </c>
      <c r="G23" s="76" t="n"/>
    </row>
    <row r="24" ht="21.75" customHeight="1" s="110">
      <c r="A24" s="74" t="inlineStr">
        <is>
          <t xml:space="preserve">  KITCHEN SUBTOTAL</t>
        </is>
      </c>
      <c r="F24" s="75">
        <f>SUM(F21:F23)</f>
        <v/>
      </c>
      <c r="G24" s="76" t="n"/>
    </row>
    <row r="25" ht="9.75" customHeight="1" s="110">
      <c r="A25" s="76" t="n"/>
      <c r="B25" s="76" t="n"/>
      <c r="C25" s="76" t="n"/>
      <c r="D25" s="76" t="n"/>
      <c r="E25" s="76" t="n"/>
      <c r="F25" s="76" t="n"/>
      <c r="G25" s="76" t="n"/>
    </row>
    <row r="26" ht="24" customHeight="1" s="110">
      <c r="A26" s="63" t="inlineStr">
        <is>
          <t xml:space="preserve">  04 · BATHROOMS</t>
        </is>
      </c>
      <c r="G26" s="76" t="n"/>
    </row>
    <row r="27" ht="15.75" customHeight="1" s="110">
      <c r="A27" s="64" t="inlineStr">
        <is>
          <t>ITEM</t>
        </is>
      </c>
      <c r="B27" s="64" t="inlineStr">
        <is>
          <t># OF BATHS</t>
        </is>
      </c>
      <c r="C27" s="64" t="inlineStr">
        <is>
          <t>UNIT</t>
        </is>
      </c>
      <c r="D27" s="64" t="inlineStr">
        <is>
          <t>SCOPE</t>
        </is>
      </c>
      <c r="E27" s="64" t="inlineStr">
        <is>
          <t>RATE (PER BATH)</t>
        </is>
      </c>
      <c r="F27" s="64" t="inlineStr">
        <is>
          <t>LINE TOTAL</t>
        </is>
      </c>
      <c r="G27" s="76" t="n"/>
    </row>
    <row r="28" ht="18" customHeight="1" s="110">
      <c r="A28" s="65" t="inlineStr">
        <is>
          <t>Bathroom - Refresh</t>
        </is>
      </c>
      <c r="B28" s="71" t="n">
        <v>0</v>
      </c>
      <c r="C28" s="77" t="inlineStr">
        <is>
          <t>per bath</t>
        </is>
      </c>
      <c r="D28" s="72" t="inlineStr">
        <is>
          <t>Mid</t>
        </is>
      </c>
      <c r="E28" s="73">
        <f t="array" ref="E28">IFERROR(INDEX('Renovation Rates'!$B:$D,MATCH(A28,'Renovation Rates'!$A:$A,0),IF(D28="Low",1,IF(D28="Mid",2,3))),0)</f>
        <v/>
      </c>
      <c r="F28" s="79">
        <f>IF(OR(B28="",B28=0),0,B28*E28)</f>
        <v/>
      </c>
      <c r="G28" s="76" t="n"/>
    </row>
    <row r="29" ht="18" customHeight="1" s="110">
      <c r="A29" s="65" t="inlineStr">
        <is>
          <t>Bathroom - Mid Remodel</t>
        </is>
      </c>
      <c r="B29" s="71" t="n">
        <v>0</v>
      </c>
      <c r="C29" s="77" t="inlineStr">
        <is>
          <t>per bath</t>
        </is>
      </c>
      <c r="D29" s="72" t="inlineStr">
        <is>
          <t>Mid</t>
        </is>
      </c>
      <c r="E29" s="73">
        <f t="array" ref="E29">IFERROR(INDEX('Renovation Rates'!$B:$D,MATCH(A29,'Renovation Rates'!$A:$A,0),IF(D29="Low",1,IF(D29="Mid",2,3))),0)</f>
        <v/>
      </c>
      <c r="F29" s="79">
        <f>IF(OR(B29="",B29=0),0,B29*E29)</f>
        <v/>
      </c>
      <c r="G29" s="76" t="n"/>
    </row>
    <row r="30" ht="18" customHeight="1" s="110">
      <c r="A30" s="65" t="inlineStr">
        <is>
          <t>Bathroom - Full Gut</t>
        </is>
      </c>
      <c r="B30" s="71" t="n">
        <v>0</v>
      </c>
      <c r="C30" s="77" t="inlineStr">
        <is>
          <t>per bath</t>
        </is>
      </c>
      <c r="D30" s="72" t="inlineStr">
        <is>
          <t>Mid</t>
        </is>
      </c>
      <c r="E30" s="73">
        <f t="array" ref="E30">IFERROR(INDEX('Renovation Rates'!$B:$D,MATCH(A30,'Renovation Rates'!$A:$A,0),IF(D30="Low",1,IF(D30="Mid",2,3))),0)</f>
        <v/>
      </c>
      <c r="F30" s="79">
        <f>IF(OR(B30="",B30=0),0,B30*E30)</f>
        <v/>
      </c>
      <c r="G30" s="76" t="n"/>
    </row>
    <row r="31" ht="21.75" customHeight="1" s="110">
      <c r="A31" s="74" t="inlineStr">
        <is>
          <t xml:space="preserve">  BATHROOMS SUBTOTAL</t>
        </is>
      </c>
      <c r="F31" s="75">
        <f>SUM(F28:F30)</f>
        <v/>
      </c>
      <c r="G31" s="76" t="n"/>
    </row>
    <row r="32" ht="9.75" customHeight="1" s="110">
      <c r="A32" s="76" t="n"/>
      <c r="B32" s="76" t="n"/>
      <c r="C32" s="76" t="n"/>
      <c r="D32" s="76" t="n"/>
      <c r="E32" s="76" t="n"/>
      <c r="F32" s="76" t="n"/>
      <c r="G32" s="76" t="n"/>
    </row>
    <row r="33" ht="24" customHeight="1" s="110">
      <c r="A33" s="63" t="inlineStr">
        <is>
          <t xml:space="preserve">  05 · MECHANICAL SYSTEMS</t>
        </is>
      </c>
      <c r="G33" s="76" t="n"/>
    </row>
    <row r="34" ht="15.75" customHeight="1" s="110">
      <c r="A34" s="64" t="inlineStr">
        <is>
          <t>ITEM</t>
        </is>
      </c>
      <c r="B34" s="64" t="inlineStr">
        <is>
          <t>QTY  (1 = Replace)</t>
        </is>
      </c>
      <c r="C34" s="64" t="inlineStr">
        <is>
          <t>UNIT</t>
        </is>
      </c>
      <c r="D34" s="64" t="inlineStr">
        <is>
          <t>SCOPE</t>
        </is>
      </c>
      <c r="E34" s="64" t="inlineStr">
        <is>
          <t>RATE</t>
        </is>
      </c>
      <c r="F34" s="64" t="inlineStr">
        <is>
          <t>LINE TOTAL</t>
        </is>
      </c>
      <c r="G34" s="76" t="n"/>
    </row>
    <row r="35" ht="18" customHeight="1" s="110">
      <c r="A35" s="65" t="inlineStr">
        <is>
          <t>HVAC - Full Replacement</t>
        </is>
      </c>
      <c r="B35" s="71" t="n">
        <v>0</v>
      </c>
      <c r="C35" s="77" t="inlineStr">
        <is>
          <t>flat</t>
        </is>
      </c>
      <c r="D35" s="72" t="inlineStr">
        <is>
          <t>Mid</t>
        </is>
      </c>
      <c r="E35" s="73">
        <f t="array" ref="E35">IFERROR(INDEX('Renovation Rates'!$B:$D,MATCH(A35,'Renovation Rates'!$A:$A,0),IF(D35="Low",1,IF(D35="Mid",2,3))),0)</f>
        <v/>
      </c>
      <c r="F35" s="79">
        <f>IF(OR(B35="",B35=0),0,B35*E35)</f>
        <v/>
      </c>
      <c r="G35" s="76" t="n"/>
    </row>
    <row r="36" ht="18" customHeight="1" s="110">
      <c r="A36" s="65" t="inlineStr">
        <is>
          <t>Mini-Split (per Zone)</t>
        </is>
      </c>
      <c r="B36" s="71" t="n">
        <v>0</v>
      </c>
      <c r="C36" s="77" t="inlineStr">
        <is>
          <t>per zone</t>
        </is>
      </c>
      <c r="D36" s="72" t="inlineStr">
        <is>
          <t>Mid</t>
        </is>
      </c>
      <c r="E36" s="73">
        <f t="array" ref="E36">IFERROR(INDEX('Renovation Rates'!$B:$D,MATCH(A36,'Renovation Rates'!$A:$A,0),IF(D36="Low",1,IF(D36="Mid",2,3))),0)</f>
        <v/>
      </c>
      <c r="F36" s="79">
        <f>IF(OR(B36="",B36=0),0,B36*E36)</f>
        <v/>
      </c>
      <c r="G36" s="76" t="n"/>
    </row>
    <row r="37" ht="18" customHeight="1" s="110">
      <c r="A37" s="65" t="inlineStr">
        <is>
          <t>Water Heater - Tank</t>
        </is>
      </c>
      <c r="B37" s="71" t="n">
        <v>0</v>
      </c>
      <c r="C37" s="77" t="inlineStr">
        <is>
          <t>flat</t>
        </is>
      </c>
      <c r="D37" s="72" t="inlineStr">
        <is>
          <t>Mid</t>
        </is>
      </c>
      <c r="E37" s="73">
        <f t="array" ref="E37">IFERROR(INDEX('Renovation Rates'!$B:$D,MATCH(A37,'Renovation Rates'!$A:$A,0),IF(D37="Low",1,IF(D37="Mid",2,3))),0)</f>
        <v/>
      </c>
      <c r="F37" s="79">
        <f>IF(OR(B37="",B37=0),0,B37*E37)</f>
        <v/>
      </c>
      <c r="G37" s="76" t="n"/>
    </row>
    <row r="38" ht="18" customHeight="1" s="110">
      <c r="A38" s="65" t="inlineStr">
        <is>
          <t>Water Heater - Tankless</t>
        </is>
      </c>
      <c r="B38" s="71" t="n">
        <v>0</v>
      </c>
      <c r="C38" s="77" t="inlineStr">
        <is>
          <t>flat</t>
        </is>
      </c>
      <c r="D38" s="72" t="inlineStr">
        <is>
          <t>Mid</t>
        </is>
      </c>
      <c r="E38" s="73">
        <f t="array" ref="E38">IFERROR(INDEX('Renovation Rates'!$B:$D,MATCH(A38,'Renovation Rates'!$A:$A,0),IF(D38="Low",1,IF(D38="Mid",2,3))),0)</f>
        <v/>
      </c>
      <c r="F38" s="79">
        <f>IF(OR(B38="",B38=0),0,B38*E38)</f>
        <v/>
      </c>
      <c r="G38" s="76" t="n"/>
    </row>
    <row r="39" ht="18" customHeight="1" s="110">
      <c r="A39" s="65" t="inlineStr">
        <is>
          <t>Electrical Panel Upgrade</t>
        </is>
      </c>
      <c r="B39" s="71" t="n">
        <v>0</v>
      </c>
      <c r="C39" s="77" t="inlineStr">
        <is>
          <t>flat</t>
        </is>
      </c>
      <c r="D39" s="72" t="inlineStr">
        <is>
          <t>Mid</t>
        </is>
      </c>
      <c r="E39" s="73">
        <f t="array" ref="E39">IFERROR(INDEX('Renovation Rates'!$B:$D,MATCH(A39,'Renovation Rates'!$A:$A,0),IF(D39="Low",1,IF(D39="Mid",2,3))),0)</f>
        <v/>
      </c>
      <c r="F39" s="79">
        <f>IF(OR(B39="",B39=0),0,B39*E39)</f>
        <v/>
      </c>
      <c r="G39" s="76" t="n"/>
    </row>
    <row r="40" ht="21.75" customHeight="1" s="110">
      <c r="A40" s="74" t="inlineStr">
        <is>
          <t xml:space="preserve">  MECHANICAL SUBTOTAL</t>
        </is>
      </c>
      <c r="F40" s="75">
        <f>SUM(F35:F39)</f>
        <v/>
      </c>
      <c r="G40" s="76" t="n"/>
    </row>
    <row r="41" ht="9.75" customHeight="1" s="110">
      <c r="A41" s="76" t="n"/>
      <c r="B41" s="76" t="n"/>
      <c r="C41" s="76" t="n"/>
      <c r="D41" s="76" t="n"/>
      <c r="E41" s="76" t="n"/>
      <c r="F41" s="76" t="n"/>
      <c r="G41" s="76" t="n"/>
    </row>
    <row r="42" ht="24" customHeight="1" s="110">
      <c r="A42" s="63" t="inlineStr">
        <is>
          <t xml:space="preserve">  06 · DOORS, WINDOWS &amp; LIGHTING</t>
        </is>
      </c>
      <c r="G42" s="76" t="n"/>
    </row>
    <row r="43" ht="15.75" customHeight="1" s="110">
      <c r="A43" s="64" t="inlineStr">
        <is>
          <t>ITEM</t>
        </is>
      </c>
      <c r="B43" s="64" t="inlineStr">
        <is>
          <t>COUNT</t>
        </is>
      </c>
      <c r="C43" s="64" t="inlineStr">
        <is>
          <t>UNIT</t>
        </is>
      </c>
      <c r="D43" s="64" t="inlineStr">
        <is>
          <t>SCOPE</t>
        </is>
      </c>
      <c r="E43" s="64" t="inlineStr">
        <is>
          <t>RATE (EACH)</t>
        </is>
      </c>
      <c r="F43" s="64" t="inlineStr">
        <is>
          <t>LINE TOTAL</t>
        </is>
      </c>
      <c r="G43" s="76" t="n"/>
    </row>
    <row r="44" ht="18" customHeight="1" s="110">
      <c r="A44" s="65" t="inlineStr">
        <is>
          <t>Interior Door</t>
        </is>
      </c>
      <c r="B44" s="71" t="n">
        <v>0</v>
      </c>
      <c r="C44" s="77" t="inlineStr">
        <is>
          <t>each</t>
        </is>
      </c>
      <c r="D44" s="72" t="inlineStr">
        <is>
          <t>Mid</t>
        </is>
      </c>
      <c r="E44" s="73">
        <f t="array" ref="E44">IFERROR(INDEX('Renovation Rates'!$B:$D,MATCH(A44,'Renovation Rates'!$A:$A,0),IF(D44="Low",1,IF(D44="Mid",2,3))),0)</f>
        <v/>
      </c>
      <c r="F44" s="79">
        <f>IF(OR(B44="",B44=0),0,B44*E44)</f>
        <v/>
      </c>
      <c r="G44" s="76" t="n"/>
    </row>
    <row r="45" ht="18" customHeight="1" s="110">
      <c r="A45" s="65" t="inlineStr">
        <is>
          <t>Exterior Door</t>
        </is>
      </c>
      <c r="B45" s="71" t="n">
        <v>0</v>
      </c>
      <c r="C45" s="77" t="inlineStr">
        <is>
          <t>each</t>
        </is>
      </c>
      <c r="D45" s="72" t="inlineStr">
        <is>
          <t>Mid</t>
        </is>
      </c>
      <c r="E45" s="73">
        <f t="array" ref="E45">IFERROR(INDEX('Renovation Rates'!$B:$D,MATCH(A45,'Renovation Rates'!$A:$A,0),IF(D45="Low",1,IF(D45="Mid",2,3))),0)</f>
        <v/>
      </c>
      <c r="F45" s="79">
        <f>IF(OR(B45="",B45=0),0,B45*E45)</f>
        <v/>
      </c>
      <c r="G45" s="76" t="n"/>
    </row>
    <row r="46" ht="18" customHeight="1" s="110">
      <c r="A46" s="65" t="inlineStr">
        <is>
          <t>Window Replacement</t>
        </is>
      </c>
      <c r="B46" s="71" t="n">
        <v>0</v>
      </c>
      <c r="C46" s="77" t="inlineStr">
        <is>
          <t>each</t>
        </is>
      </c>
      <c r="D46" s="72" t="inlineStr">
        <is>
          <t>Mid</t>
        </is>
      </c>
      <c r="E46" s="73">
        <f t="array" ref="E46">IFERROR(INDEX('Renovation Rates'!$B:$D,MATCH(A46,'Renovation Rates'!$A:$A,0),IF(D46="Low",1,IF(D46="Mid",2,3))),0)</f>
        <v/>
      </c>
      <c r="F46" s="79">
        <f>IF(OR(B46="",B46=0),0,B46*E46)</f>
        <v/>
      </c>
      <c r="G46" s="76" t="n"/>
    </row>
    <row r="47" ht="18" customHeight="1" s="110">
      <c r="A47" s="65" t="inlineStr">
        <is>
          <t>Light Fixture</t>
        </is>
      </c>
      <c r="B47" s="71" t="n">
        <v>0</v>
      </c>
      <c r="C47" s="77" t="inlineStr">
        <is>
          <t>each</t>
        </is>
      </c>
      <c r="D47" s="72" t="inlineStr">
        <is>
          <t>Mid</t>
        </is>
      </c>
      <c r="E47" s="73">
        <f t="array" ref="E47">IFERROR(INDEX('Renovation Rates'!$B:$D,MATCH(A47,'Renovation Rates'!$A:$A,0),IF(D47="Low",1,IF(D47="Mid",2,3))),0)</f>
        <v/>
      </c>
      <c r="F47" s="79">
        <f>IF(OR(B47="",B47=0),0,B47*E47)</f>
        <v/>
      </c>
      <c r="G47" s="76" t="n"/>
    </row>
    <row r="48" ht="21.75" customHeight="1" s="110">
      <c r="A48" s="74" t="inlineStr">
        <is>
          <t xml:space="preserve">  DOORS / WINDOWS / LIGHTING SUBTOTAL</t>
        </is>
      </c>
      <c r="F48" s="75">
        <f>SUM(F44:F47)</f>
        <v/>
      </c>
      <c r="G48" s="76" t="n"/>
    </row>
    <row r="49" ht="9.75" customHeight="1" s="110">
      <c r="A49" s="76" t="n"/>
      <c r="B49" s="76" t="n"/>
      <c r="C49" s="76" t="n"/>
      <c r="D49" s="76" t="n"/>
      <c r="E49" s="76" t="n"/>
      <c r="F49" s="76" t="n"/>
      <c r="G49" s="76" t="n"/>
    </row>
    <row r="50" ht="24" customHeight="1" s="110">
      <c r="A50" s="63" t="inlineStr">
        <is>
          <t xml:space="preserve">  07 · EXTERIOR &amp; CURB APPEAL</t>
        </is>
      </c>
      <c r="G50" s="76" t="n"/>
    </row>
    <row r="51" ht="15.75" customHeight="1" s="110">
      <c r="A51" s="64" t="inlineStr">
        <is>
          <t>ITEM</t>
        </is>
      </c>
      <c r="B51" s="64" t="inlineStr">
        <is>
          <t>QUANTITY</t>
        </is>
      </c>
      <c r="C51" s="64" t="inlineStr">
        <is>
          <t>UNIT</t>
        </is>
      </c>
      <c r="D51" s="64" t="inlineStr">
        <is>
          <t>SCOPE</t>
        </is>
      </c>
      <c r="E51" s="64" t="inlineStr">
        <is>
          <t>RATE ($/UNIT)</t>
        </is>
      </c>
      <c r="F51" s="64" t="inlineStr">
        <is>
          <t>LINE TOTAL</t>
        </is>
      </c>
      <c r="G51" s="76" t="n"/>
    </row>
    <row r="52" ht="18" customHeight="1" s="110">
      <c r="A52" s="65" t="inlineStr">
        <is>
          <t>Exterior Paint</t>
        </is>
      </c>
      <c r="B52" s="71" t="n">
        <v>0</v>
      </c>
      <c r="C52" s="77" t="n">
        <v>2843</v>
      </c>
      <c r="D52" s="72" t="inlineStr">
        <is>
          <t>Mid</t>
        </is>
      </c>
      <c r="E52" s="73">
        <f t="array" ref="E52">IFERROR(INDEX('Renovation Rates'!$B:$D,MATCH(A52,'Renovation Rates'!$A:$A,0),IF(D52="Low",1,IF(D52="Mid",2,3))),0)</f>
        <v/>
      </c>
      <c r="F52" s="79">
        <f>IF(OR(B52="",B52=0),0,B52*E52)</f>
        <v/>
      </c>
      <c r="G52" s="76" t="n"/>
    </row>
    <row r="53" ht="18" customHeight="1" s="110">
      <c r="A53" s="65" t="inlineStr">
        <is>
          <t>Landscaping Refresh</t>
        </is>
      </c>
      <c r="B53" s="71" t="n">
        <v>0</v>
      </c>
      <c r="C53" s="77" t="inlineStr">
        <is>
          <t>flat</t>
        </is>
      </c>
      <c r="D53" s="72" t="inlineStr">
        <is>
          <t>High</t>
        </is>
      </c>
      <c r="E53" s="73">
        <f t="array" ref="E53">IFERROR(INDEX('Renovation Rates'!$B:$D,MATCH(A53,'Renovation Rates'!$A:$A,0),IF(D53="Low",1,IF(D53="Mid",2,3))),0)</f>
        <v/>
      </c>
      <c r="F53" s="79">
        <f>IF(OR(B53="",B53=0),0,B53*E53)</f>
        <v/>
      </c>
      <c r="G53" s="76" t="n"/>
    </row>
    <row r="54" ht="18" customHeight="1" s="110">
      <c r="A54" s="65" t="inlineStr">
        <is>
          <t>Driveway Reseal / Repair</t>
        </is>
      </c>
      <c r="B54" s="71" t="n">
        <v>0</v>
      </c>
      <c r="C54" s="77" t="inlineStr">
        <is>
          <t>flat</t>
        </is>
      </c>
      <c r="D54" s="72" t="inlineStr">
        <is>
          <t>Mid</t>
        </is>
      </c>
      <c r="E54" s="73">
        <f t="array" ref="E54">IFERROR(INDEX('Renovation Rates'!$B:$D,MATCH(A54,'Renovation Rates'!$A:$A,0),IF(D54="Low",1,IF(D54="Mid",2,3))),0)</f>
        <v/>
      </c>
      <c r="F54" s="79">
        <f>IF(OR(B54="",B54=0),0,B54*E54)</f>
        <v/>
      </c>
      <c r="G54" s="76" t="n"/>
    </row>
    <row r="55" ht="18" customHeight="1" s="110">
      <c r="A55" s="65" t="inlineStr">
        <is>
          <t>New Sod</t>
        </is>
      </c>
      <c r="B55" s="71" t="n">
        <v>0</v>
      </c>
      <c r="C55" s="77" t="inlineStr">
        <is>
          <t>sqft</t>
        </is>
      </c>
      <c r="D55" s="72" t="inlineStr">
        <is>
          <t>Mid</t>
        </is>
      </c>
      <c r="E55" s="73">
        <f t="array" ref="E55">IFERROR(INDEX('Renovation Rates'!$B:$D,MATCH(A55,'Renovation Rates'!$A:$A,0),IF(D55="Low",1,IF(D55="Mid",2,3))),0)</f>
        <v/>
      </c>
      <c r="F55" s="79">
        <f>IF(OR(B55="",B55=0),0,B55*E55)</f>
        <v/>
      </c>
      <c r="G55" s="76" t="n"/>
    </row>
    <row r="56" ht="18" customHeight="1" s="110">
      <c r="A56" s="65" t="inlineStr">
        <is>
          <t>Fencing</t>
        </is>
      </c>
      <c r="B56" s="71" t="n">
        <v>0</v>
      </c>
      <c r="C56" s="77" t="inlineStr">
        <is>
          <t>linear ft</t>
        </is>
      </c>
      <c r="D56" s="72" t="inlineStr">
        <is>
          <t>Mid</t>
        </is>
      </c>
      <c r="E56" s="73">
        <f t="array" ref="E56">IFERROR(INDEX('Renovation Rates'!$B:$D,MATCH(A56,'Renovation Rates'!$A:$A,0),IF(D56="Low",1,IF(D56="Mid",2,3))),0)</f>
        <v/>
      </c>
      <c r="F56" s="79">
        <f>IF(OR(B56="",B56=0),0,B56*E56)</f>
        <v/>
      </c>
      <c r="G56" s="76" t="n"/>
    </row>
    <row r="57" ht="21.75" customHeight="1" s="110">
      <c r="A57" s="74" t="inlineStr">
        <is>
          <t xml:space="preserve">  EXTERIOR SUBTOTAL</t>
        </is>
      </c>
      <c r="F57" s="75">
        <f>SUM(F52:F56)</f>
        <v/>
      </c>
      <c r="G57" s="76" t="n"/>
    </row>
    <row r="58" ht="9.75" customHeight="1" s="110">
      <c r="A58" s="76" t="n"/>
      <c r="B58" s="76" t="n"/>
      <c r="C58" s="76" t="n"/>
      <c r="D58" s="76" t="n"/>
      <c r="E58" s="76" t="n"/>
      <c r="F58" s="76" t="n"/>
      <c r="G58" s="76" t="n"/>
    </row>
    <row r="59" ht="24" customHeight="1" s="110">
      <c r="A59" s="63" t="inlineStr">
        <is>
          <t xml:space="preserve">  08 · STR AMENITY ADD-ONS</t>
        </is>
      </c>
      <c r="G59" s="76" t="n"/>
    </row>
    <row r="60" ht="15.75" customHeight="1" s="110">
      <c r="A60" s="64" t="inlineStr">
        <is>
          <t>AMENITY</t>
        </is>
      </c>
      <c r="B60" s="64" t="inlineStr">
        <is>
          <t>INCLUDE?</t>
        </is>
      </c>
      <c r="C60" s="64" t="inlineStr">
        <is>
          <t>UNIT</t>
        </is>
      </c>
      <c r="D60" s="64" t="inlineStr">
        <is>
          <t>SCOPE</t>
        </is>
      </c>
      <c r="E60" s="64" t="inlineStr">
        <is>
          <t>RATE</t>
        </is>
      </c>
      <c r="F60" s="64" t="inlineStr">
        <is>
          <t>LINE TOTAL</t>
        </is>
      </c>
      <c r="G60" s="76" t="n"/>
    </row>
    <row r="61" ht="18" customHeight="1" s="110">
      <c r="A61" s="65" t="inlineStr">
        <is>
          <t>Hot Tub</t>
        </is>
      </c>
      <c r="B61" s="72" t="inlineStr">
        <is>
          <t>No</t>
        </is>
      </c>
      <c r="C61" s="77" t="inlineStr">
        <is>
          <t>flat</t>
        </is>
      </c>
      <c r="D61" s="72" t="inlineStr">
        <is>
          <t>Low</t>
        </is>
      </c>
      <c r="E61" s="78">
        <f t="array" ref="E61">IFERROR(INDEX('Renovation Rates'!$B:$D,MATCH(A61,'Renovation Rates'!$A:$A,0),IF(D61="Low",1,IF(D61="Mid",2,3))),0)</f>
        <v/>
      </c>
      <c r="F61" s="79">
        <f>IF(B61="Yes",E61,0)</f>
        <v/>
      </c>
      <c r="G61" s="76" t="n"/>
    </row>
    <row r="62" ht="18" customHeight="1" s="110">
      <c r="A62" s="65" t="inlineStr">
        <is>
          <t>Pool - Fiberglass Inground</t>
        </is>
      </c>
      <c r="B62" s="72" t="inlineStr">
        <is>
          <t>No</t>
        </is>
      </c>
      <c r="C62" s="77" t="inlineStr">
        <is>
          <t>flat</t>
        </is>
      </c>
      <c r="D62" s="72" t="inlineStr">
        <is>
          <t>Mid</t>
        </is>
      </c>
      <c r="E62" s="78">
        <f t="array" ref="E62">IFERROR(INDEX('Renovation Rates'!$B:$D,MATCH(A62,'Renovation Rates'!$A:$A,0),IF(D62="Low",1,IF(D62="Mid",2,3))),0)</f>
        <v/>
      </c>
      <c r="F62" s="79">
        <f>IF(B62="Yes",E62,0)</f>
        <v/>
      </c>
      <c r="G62" s="76" t="n"/>
    </row>
    <row r="63" ht="18" customHeight="1" s="110">
      <c r="A63" s="65" t="inlineStr">
        <is>
          <t>Pool - Gunite / Concrete</t>
        </is>
      </c>
      <c r="B63" s="72" t="inlineStr">
        <is>
          <t>No</t>
        </is>
      </c>
      <c r="C63" s="77" t="inlineStr">
        <is>
          <t>flat</t>
        </is>
      </c>
      <c r="D63" s="72" t="inlineStr">
        <is>
          <t>Mid</t>
        </is>
      </c>
      <c r="E63" s="78">
        <f t="array" ref="E63">IFERROR(INDEX('Renovation Rates'!$B:$D,MATCH(A63,'Renovation Rates'!$A:$A,0),IF(D63="Low",1,IF(D63="Mid",2,3))),0)</f>
        <v/>
      </c>
      <c r="F63" s="79">
        <f>IF(B63="Yes",E63,0)</f>
        <v/>
      </c>
      <c r="G63" s="76" t="n"/>
    </row>
    <row r="64" ht="18" customHeight="1" s="110">
      <c r="A64" s="65" t="inlineStr">
        <is>
          <t>Plunge Pool</t>
        </is>
      </c>
      <c r="B64" s="72" t="inlineStr">
        <is>
          <t>No</t>
        </is>
      </c>
      <c r="C64" s="77" t="inlineStr">
        <is>
          <t>flat</t>
        </is>
      </c>
      <c r="D64" s="72" t="inlineStr">
        <is>
          <t>Mid</t>
        </is>
      </c>
      <c r="E64" s="78">
        <f t="array" ref="E64">IFERROR(INDEX('Renovation Rates'!$B:$D,MATCH(A64,'Renovation Rates'!$A:$A,0),IF(D64="Low",1,IF(D64="Mid",2,3))),0)</f>
        <v/>
      </c>
      <c r="F64" s="79">
        <f>IF(B64="Yes",E64,0)</f>
        <v/>
      </c>
      <c r="G64" s="76" t="n"/>
    </row>
    <row r="65" ht="18" customHeight="1" s="110">
      <c r="A65" s="65" t="inlineStr">
        <is>
          <t>Volleyball Sand Court</t>
        </is>
      </c>
      <c r="B65" s="72" t="inlineStr">
        <is>
          <t>No</t>
        </is>
      </c>
      <c r="C65" s="77" t="inlineStr">
        <is>
          <t>flat</t>
        </is>
      </c>
      <c r="D65" s="72" t="inlineStr">
        <is>
          <t>Mid</t>
        </is>
      </c>
      <c r="E65" s="78">
        <f t="array" ref="E65">IFERROR(INDEX('Renovation Rates'!$B:$D,MATCH(A65,'Renovation Rates'!$A:$A,0),IF(D65="Low",1,IF(D65="Mid",2,3))),0)</f>
        <v/>
      </c>
      <c r="F65" s="79">
        <f>IF(B65="Yes",E65,0)</f>
        <v/>
      </c>
      <c r="G65" s="76" t="n"/>
    </row>
    <row r="66" ht="18" customHeight="1" s="110">
      <c r="A66" s="65" t="inlineStr">
        <is>
          <t>Fire Pit - Prefab</t>
        </is>
      </c>
      <c r="B66" s="72" t="inlineStr">
        <is>
          <t>No</t>
        </is>
      </c>
      <c r="C66" s="77" t="inlineStr">
        <is>
          <t>flat</t>
        </is>
      </c>
      <c r="D66" s="72" t="inlineStr">
        <is>
          <t>Mid</t>
        </is>
      </c>
      <c r="E66" s="78">
        <f t="array" ref="E66">IFERROR(INDEX('Renovation Rates'!$B:$D,MATCH(A66,'Renovation Rates'!$A:$A,0),IF(D66="Low",1,IF(D66="Mid",2,3))),0)</f>
        <v/>
      </c>
      <c r="F66" s="79">
        <f>IF(B66="Yes",E66,0)</f>
        <v/>
      </c>
      <c r="G66" s="76" t="n"/>
    </row>
    <row r="67" ht="18" customHeight="1" s="110">
      <c r="A67" s="65" t="inlineStr">
        <is>
          <t>Fire Pit - Built-In Stone</t>
        </is>
      </c>
      <c r="B67" s="72" t="inlineStr">
        <is>
          <t>No</t>
        </is>
      </c>
      <c r="C67" s="77" t="inlineStr">
        <is>
          <t>flat</t>
        </is>
      </c>
      <c r="D67" s="72" t="inlineStr">
        <is>
          <t>Mid</t>
        </is>
      </c>
      <c r="E67" s="78">
        <f t="array" ref="E67">IFERROR(INDEX('Renovation Rates'!$B:$D,MATCH(A67,'Renovation Rates'!$A:$A,0),IF(D67="Low",1,IF(D67="Mid",2,3))),0)</f>
        <v/>
      </c>
      <c r="F67" s="79">
        <f>IF(B67="Yes",E67,0)</f>
        <v/>
      </c>
      <c r="G67" s="76" t="n"/>
    </row>
    <row r="68" ht="18" customHeight="1" s="110">
      <c r="A68" s="65" t="inlineStr">
        <is>
          <t>Outdoor Kitchen - Basic</t>
        </is>
      </c>
      <c r="B68" s="72" t="inlineStr">
        <is>
          <t>No</t>
        </is>
      </c>
      <c r="C68" s="77" t="inlineStr">
        <is>
          <t>flat</t>
        </is>
      </c>
      <c r="D68" s="72" t="inlineStr">
        <is>
          <t>Mid</t>
        </is>
      </c>
      <c r="E68" s="78">
        <f t="array" ref="E68">IFERROR(INDEX('Renovation Rates'!$B:$D,MATCH(A68,'Renovation Rates'!$A:$A,0),IF(D68="Low",1,IF(D68="Mid",2,3))),0)</f>
        <v/>
      </c>
      <c r="F68" s="79">
        <f>IF(B68="Yes",E68,0)</f>
        <v/>
      </c>
      <c r="G68" s="76" t="n"/>
    </row>
    <row r="69" ht="18" customHeight="1" s="110">
      <c r="A69" s="65" t="inlineStr">
        <is>
          <t>Outdoor Kitchen - Full</t>
        </is>
      </c>
      <c r="B69" s="72" t="inlineStr">
        <is>
          <t>No</t>
        </is>
      </c>
      <c r="C69" s="77" t="inlineStr">
        <is>
          <t>flat</t>
        </is>
      </c>
      <c r="D69" s="72" t="inlineStr">
        <is>
          <t>Mid</t>
        </is>
      </c>
      <c r="E69" s="78">
        <f t="array" ref="E69">IFERROR(INDEX('Renovation Rates'!$B:$D,MATCH(A69,'Renovation Rates'!$A:$A,0),IF(D69="Low",1,IF(D69="Mid",2,3))),0)</f>
        <v/>
      </c>
      <c r="F69" s="79">
        <f>IF(B69="Yes",E69,0)</f>
        <v/>
      </c>
      <c r="G69" s="76" t="n"/>
    </row>
    <row r="70" ht="18" customHeight="1" s="110">
      <c r="A70" s="65" t="inlineStr">
        <is>
          <t>Pergola - Prefab Kit</t>
        </is>
      </c>
      <c r="B70" s="72" t="inlineStr">
        <is>
          <t>No</t>
        </is>
      </c>
      <c r="C70" s="77" t="inlineStr">
        <is>
          <t>flat</t>
        </is>
      </c>
      <c r="D70" s="72" t="inlineStr">
        <is>
          <t>Mid</t>
        </is>
      </c>
      <c r="E70" s="78">
        <f t="array" ref="E70">IFERROR(INDEX('Renovation Rates'!$B:$D,MATCH(A70,'Renovation Rates'!$A:$A,0),IF(D70="Low",1,IF(D70="Mid",2,3))),0)</f>
        <v/>
      </c>
      <c r="F70" s="79">
        <f>IF(B70="Yes",E70,0)</f>
        <v/>
      </c>
      <c r="G70" s="76" t="n"/>
    </row>
    <row r="71" ht="18" customHeight="1" s="110">
      <c r="A71" s="65" t="inlineStr">
        <is>
          <t>Pergola - Custom Built</t>
        </is>
      </c>
      <c r="B71" s="72" t="inlineStr">
        <is>
          <t>No</t>
        </is>
      </c>
      <c r="C71" s="77" t="inlineStr">
        <is>
          <t>flat</t>
        </is>
      </c>
      <c r="D71" s="72" t="inlineStr">
        <is>
          <t>Mid</t>
        </is>
      </c>
      <c r="E71" s="78">
        <f t="array" ref="E71">IFERROR(INDEX('Renovation Rates'!$B:$D,MATCH(A71,'Renovation Rates'!$A:$A,0),IF(D71="Low",1,IF(D71="Mid",2,3))),0)</f>
        <v/>
      </c>
      <c r="F71" s="79">
        <f>IF(B71="Yes",E71,0)</f>
        <v/>
      </c>
      <c r="G71" s="76" t="n"/>
    </row>
    <row r="72" ht="18" customHeight="1" s="110">
      <c r="A72" s="65" t="inlineStr">
        <is>
          <t>Game Room Setup</t>
        </is>
      </c>
      <c r="B72" s="72" t="inlineStr">
        <is>
          <t>Yes</t>
        </is>
      </c>
      <c r="C72" s="77" t="inlineStr">
        <is>
          <t>flat</t>
        </is>
      </c>
      <c r="D72" s="72" t="inlineStr">
        <is>
          <t>Mid</t>
        </is>
      </c>
      <c r="E72" s="78">
        <f t="array" ref="E72">IFERROR(INDEX('Renovation Rates'!$B:$D,MATCH(A72,'Renovation Rates'!$A:$A,0),IF(D72="Low",1,IF(D72="Mid",2,3))),0)</f>
        <v/>
      </c>
      <c r="F72" s="79">
        <f>IF(B72="Yes",E72,0)</f>
        <v/>
      </c>
      <c r="G72" s="76" t="n"/>
    </row>
    <row r="73" ht="18" customHeight="1" s="110">
      <c r="A73" s="65" t="inlineStr">
        <is>
          <t>Putting Green (Artificial Turf)</t>
        </is>
      </c>
      <c r="B73" s="72" t="inlineStr">
        <is>
          <t>No</t>
        </is>
      </c>
      <c r="C73" s="77" t="inlineStr">
        <is>
          <t>flat</t>
        </is>
      </c>
      <c r="D73" s="72" t="inlineStr">
        <is>
          <t>Mid</t>
        </is>
      </c>
      <c r="E73" s="78">
        <f t="array" ref="E73">IFERROR(INDEX('Renovation Rates'!$B:$D,MATCH(A73,'Renovation Rates'!$A:$A,0),IF(D73="Low",1,IF(D73="Mid",2,3))),0)</f>
        <v/>
      </c>
      <c r="F73" s="79">
        <f>IF(B73="Yes",E73,0)</f>
        <v/>
      </c>
      <c r="G73" s="76" t="n"/>
    </row>
    <row r="74" ht="21.75" customHeight="1" s="110">
      <c r="A74" s="74" t="inlineStr">
        <is>
          <t xml:space="preserve">  AMENITIES SUBTOTAL</t>
        </is>
      </c>
      <c r="F74" s="75">
        <f>SUM(F61:F73)</f>
        <v/>
      </c>
      <c r="G74" s="76" t="n"/>
    </row>
    <row r="75" ht="9.75" customHeight="1" s="110">
      <c r="A75" s="76" t="n"/>
      <c r="B75" s="76" t="n"/>
      <c r="C75" s="76" t="n"/>
      <c r="D75" s="76" t="n"/>
      <c r="E75" s="76" t="n"/>
      <c r="F75" s="76" t="n"/>
      <c r="G75" s="76" t="n"/>
    </row>
    <row r="76" ht="24" customHeight="1" s="110">
      <c r="A76" s="63" t="inlineStr">
        <is>
          <t xml:space="preserve">  09 · SOFT COSTS</t>
        </is>
      </c>
      <c r="G76" s="76" t="n"/>
    </row>
    <row r="77" ht="15.75" customHeight="1" s="110">
      <c r="A77" s="64" t="inlineStr">
        <is>
          <t>ITEM</t>
        </is>
      </c>
      <c r="B77" s="64" t="inlineStr">
        <is>
          <t>AMOUNT / RATE</t>
        </is>
      </c>
      <c r="C77" s="64" t="inlineStr">
        <is>
          <t>UNIT</t>
        </is>
      </c>
      <c r="D77" s="64" t="n"/>
      <c r="E77" s="64" t="n"/>
      <c r="F77" s="64" t="inlineStr">
        <is>
          <t>LINE TOTAL</t>
        </is>
      </c>
      <c r="G77" s="76" t="n"/>
    </row>
    <row r="78" ht="18" customHeight="1" s="110">
      <c r="A78" s="65" t="inlineStr">
        <is>
          <t>Permits (estimated)</t>
        </is>
      </c>
      <c r="B78" s="80" t="n">
        <v>2200</v>
      </c>
      <c r="C78" s="77" t="inlineStr">
        <is>
          <t>flat</t>
        </is>
      </c>
      <c r="D78" s="81" t="n"/>
      <c r="E78" s="81" t="n"/>
      <c r="F78" s="79" t="n">
        <v>0</v>
      </c>
      <c r="G78" s="76" t="n"/>
    </row>
    <row r="79" ht="18" customHeight="1" s="110">
      <c r="A79" s="65" t="inlineStr">
        <is>
          <t>Contingency (% of hard costs)</t>
        </is>
      </c>
      <c r="B79" s="82" t="n">
        <v>0.12</v>
      </c>
      <c r="C79" s="77" t="inlineStr">
        <is>
          <t>%</t>
        </is>
      </c>
      <c r="D79" s="81" t="n"/>
      <c r="E79" s="81" t="n"/>
      <c r="F79" s="79">
        <f>(F11+F17+F24+F31+F40+F48+F57+F74)*B79</f>
        <v/>
      </c>
      <c r="G79" s="76" t="n"/>
    </row>
    <row r="80" ht="21.75" customHeight="1" s="110">
      <c r="A80" s="74" t="inlineStr">
        <is>
          <t xml:space="preserve">  SOFT COSTS SUBTOTAL</t>
        </is>
      </c>
      <c r="F80" s="75">
        <f>SUM(F78:F79)</f>
        <v/>
      </c>
      <c r="G80" s="76" t="n"/>
    </row>
    <row r="81" ht="9.75" customHeight="1" s="110">
      <c r="A81" s="76" t="n"/>
      <c r="B81" s="76" t="n"/>
      <c r="C81" s="76" t="n"/>
      <c r="D81" s="76" t="n"/>
      <c r="E81" s="76" t="n"/>
      <c r="F81" s="76" t="n"/>
      <c r="G81" s="76" t="n"/>
    </row>
    <row r="82" ht="27.75" customHeight="1" s="110">
      <c r="A82" s="83" t="inlineStr">
        <is>
          <t xml:space="preserve">  ESTIMATE SUMMARY</t>
        </is>
      </c>
      <c r="G82" s="76" t="n"/>
    </row>
    <row r="83" ht="21.75" customHeight="1" s="110">
      <c r="A83" s="84" t="inlineStr">
        <is>
          <t xml:space="preserve">  Total Hard Costs  (Sections 01–08)</t>
        </is>
      </c>
      <c r="F83" s="85">
        <f>F11+F17+F24+F31+F40+F48+F57+F74</f>
        <v/>
      </c>
      <c r="G83" s="76" t="n"/>
    </row>
    <row r="84" ht="21.75" customHeight="1" s="110">
      <c r="A84" s="84" t="inlineStr">
        <is>
          <t xml:space="preserve">  Total Soft Costs  (Permits + Contingency)</t>
        </is>
      </c>
      <c r="F84" s="85">
        <f>F80</f>
        <v/>
      </c>
      <c r="G84" s="76" t="n"/>
    </row>
    <row r="85" ht="33.75" customHeight="1" s="110">
      <c r="A85" s="86" t="inlineStr">
        <is>
          <t xml:space="preserve">  TOTAL RENOVATION BUDGET</t>
        </is>
      </c>
      <c r="F85" s="87">
        <f>F83+F84</f>
        <v/>
      </c>
      <c r="G85" s="76" t="n"/>
    </row>
    <row r="86" ht="21.75" customHeight="1" s="110">
      <c r="A86" s="58" t="inlineStr">
        <is>
          <t xml:space="preserve">  Estimated Cost per Sqft</t>
        </is>
      </c>
      <c r="F86" s="88">
        <f>IFERROR(F85/B4,0)</f>
        <v/>
      </c>
      <c r="G86" s="76" t="n"/>
    </row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5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15.75" customHeight="1" s="110"/>
    <row r="124" ht="15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5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</sheetData>
  <mergeCells count="26">
    <mergeCell ref="A83:E83"/>
    <mergeCell ref="A48:E48"/>
    <mergeCell ref="A24:E24"/>
    <mergeCell ref="A11:E11"/>
    <mergeCell ref="A50:F50"/>
    <mergeCell ref="A26:F26"/>
    <mergeCell ref="A33:F33"/>
    <mergeCell ref="A42:F42"/>
    <mergeCell ref="A76:F76"/>
    <mergeCell ref="A84:E84"/>
    <mergeCell ref="A80:E80"/>
    <mergeCell ref="A74:E74"/>
    <mergeCell ref="A1:G1"/>
    <mergeCell ref="A57:E57"/>
    <mergeCell ref="A13:F13"/>
    <mergeCell ref="A19:F19"/>
    <mergeCell ref="A86:E86"/>
    <mergeCell ref="A85:E85"/>
    <mergeCell ref="A17:E17"/>
    <mergeCell ref="A59:F59"/>
    <mergeCell ref="A82:F82"/>
    <mergeCell ref="A3:G3"/>
    <mergeCell ref="A6:F6"/>
    <mergeCell ref="A2:G2"/>
    <mergeCell ref="A31:E31"/>
    <mergeCell ref="A40:E40"/>
  </mergeCells>
  <dataValidations count="2">
    <dataValidation sqref="D8:D10 D15:D16 D21:D23 D28:D30 D35:D39 D44:D47 D52:D56 D61:D73" showDropDown="0" showInputMessage="0" showErrorMessage="0" allowBlank="1" type="list">
      <formula1>"Low,Mid,High"</formula1>
    </dataValidation>
    <dataValidation sqref="B61:B73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1B2A4A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110" min="1" max="1"/>
    <col width="14" customWidth="1" style="110" min="2" max="4"/>
    <col width="38" customWidth="1" style="110" min="5" max="5"/>
    <col width="8.710000000000001" customWidth="1" style="110" min="6" max="6"/>
  </cols>
  <sheetData>
    <row r="1" ht="24" customHeight="1" s="110">
      <c r="A1" s="89" t="inlineStr">
        <is>
          <t>ITEM NAME</t>
        </is>
      </c>
      <c r="B1" s="89" t="inlineStr">
        <is>
          <t>LOW ($)</t>
        </is>
      </c>
      <c r="C1" s="89" t="inlineStr">
        <is>
          <t>MID ($)</t>
        </is>
      </c>
      <c r="D1" s="89" t="inlineStr">
        <is>
          <t>HIGH ($)</t>
        </is>
      </c>
      <c r="E1" s="89" t="inlineStr">
        <is>
          <t>UNIT / SCOPE NOTES</t>
        </is>
      </c>
    </row>
    <row r="2" ht="18" customHeight="1" s="110">
      <c r="A2" s="90" t="inlineStr">
        <is>
          <t xml:space="preserve">  Item names must match exactly what appears in the Estimator tab.  All rates are blended averages — update as your market data evolves.</t>
        </is>
      </c>
    </row>
    <row r="3" ht="18" customHeight="1" s="110">
      <c r="A3" s="91" t="inlineStr">
        <is>
          <t xml:space="preserve">  ── FLOORING ──</t>
        </is>
      </c>
    </row>
    <row r="4" ht="18" customHeight="1" s="110">
      <c r="A4" s="92" t="inlineStr">
        <is>
          <t>LVP Flooring</t>
        </is>
      </c>
      <c r="B4" s="93" t="n">
        <v>4</v>
      </c>
      <c r="C4" s="93" t="n">
        <v>5.5</v>
      </c>
      <c r="D4" s="93" t="n">
        <v>7</v>
      </c>
      <c r="E4" s="97" t="inlineStr">
        <is>
          <t>$/sqft installed — low=basic, high=premium pattern</t>
        </is>
      </c>
    </row>
    <row r="5" ht="18" customHeight="1" s="110">
      <c r="A5" s="92" t="inlineStr">
        <is>
          <t>Tile Flooring</t>
        </is>
      </c>
      <c r="B5" s="93" t="n">
        <v>7</v>
      </c>
      <c r="C5" s="93" t="n">
        <v>10</v>
      </c>
      <c r="D5" s="93" t="n">
        <v>14</v>
      </c>
      <c r="E5" s="97" t="inlineStr">
        <is>
          <t>$/sqft installed — low=standard, high=complex layout</t>
        </is>
      </c>
    </row>
    <row r="6" ht="18" customHeight="1" s="110">
      <c r="A6" s="92" t="inlineStr">
        <is>
          <t>Carpet</t>
        </is>
      </c>
      <c r="B6" s="93" t="n">
        <v>3</v>
      </c>
      <c r="C6" s="93" t="n">
        <v>4</v>
      </c>
      <c r="D6" s="93" t="n">
        <v>5</v>
      </c>
      <c r="E6" s="97" t="inlineStr">
        <is>
          <t>$/sqft installed — low=budget, high=quality pad+carpet</t>
        </is>
      </c>
    </row>
    <row r="7" ht="18" customHeight="1" s="110">
      <c r="A7" s="91" t="inlineStr">
        <is>
          <t xml:space="preserve">  ── INTERIOR PAINT ──</t>
        </is>
      </c>
    </row>
    <row r="8" ht="18" customHeight="1" s="110">
      <c r="A8" s="92" t="inlineStr">
        <is>
          <t>Paint - Walls Only</t>
        </is>
      </c>
      <c r="B8" s="93" t="n">
        <v>1.5</v>
      </c>
      <c r="C8" s="93" t="n">
        <v>1.75</v>
      </c>
      <c r="D8" s="93" t="n">
        <v>2</v>
      </c>
      <c r="E8" s="97" t="inlineStr">
        <is>
          <t>$/sqft of home living area</t>
        </is>
      </c>
    </row>
    <row r="9" ht="18" customHeight="1" s="110">
      <c r="A9" s="92" t="inlineStr">
        <is>
          <t>Paint - Walls + Ceilings + Trim</t>
        </is>
      </c>
      <c r="B9" s="93" t="n">
        <v>2.5</v>
      </c>
      <c r="C9" s="93" t="n">
        <v>3</v>
      </c>
      <c r="D9" s="93" t="n">
        <v>3.5</v>
      </c>
      <c r="E9" s="97" t="inlineStr">
        <is>
          <t>$/sqft of home living area</t>
        </is>
      </c>
    </row>
    <row r="10" ht="18" customHeight="1" s="110">
      <c r="A10" s="91" t="inlineStr">
        <is>
          <t xml:space="preserve">  ── KITCHEN ──</t>
        </is>
      </c>
    </row>
    <row r="11" ht="18" customHeight="1" s="110">
      <c r="A11" s="92" t="inlineStr">
        <is>
          <t>Kitchen - Refresh</t>
        </is>
      </c>
      <c r="B11" s="96" t="n">
        <v>3000</v>
      </c>
      <c r="C11" s="96" t="n">
        <v>4500</v>
      </c>
      <c r="D11" s="96" t="n">
        <v>6000</v>
      </c>
      <c r="E11" s="97" t="inlineStr">
        <is>
          <t>Flat / paint cabs, new hardware, new countertops</t>
        </is>
      </c>
    </row>
    <row r="12" ht="18" customHeight="1" s="110">
      <c r="A12" s="92" t="inlineStr">
        <is>
          <t>Kitchen - Partial Remodel</t>
        </is>
      </c>
      <c r="B12" s="96" t="n">
        <v>8000</v>
      </c>
      <c r="C12" s="96" t="n">
        <v>11000</v>
      </c>
      <c r="D12" s="96" t="n">
        <v>14000</v>
      </c>
      <c r="E12" s="97" t="inlineStr">
        <is>
          <t>Flat / new counters + appliances, keep cabinet boxes</t>
        </is>
      </c>
    </row>
    <row r="13" ht="18" customHeight="1" s="110">
      <c r="A13" s="92" t="inlineStr">
        <is>
          <t>Kitchen - Full Remodel</t>
        </is>
      </c>
      <c r="B13" s="96" t="n">
        <v>18000</v>
      </c>
      <c r="C13" s="96" t="n">
        <v>26500</v>
      </c>
      <c r="D13" s="96" t="n">
        <v>35000</v>
      </c>
      <c r="E13" s="97" t="inlineStr">
        <is>
          <t>Flat / new cabs, counters, appliances, backsplash</t>
        </is>
      </c>
    </row>
    <row r="14" ht="18" customHeight="1" s="110">
      <c r="A14" s="91" t="inlineStr">
        <is>
          <t xml:space="preserve">  ── BATHROOMS ──</t>
        </is>
      </c>
    </row>
    <row r="15" ht="18" customHeight="1" s="110">
      <c r="A15" s="92" t="inlineStr">
        <is>
          <t>Bathroom - Refresh</t>
        </is>
      </c>
      <c r="B15" s="96" t="n">
        <v>2000</v>
      </c>
      <c r="C15" s="96" t="n">
        <v>3000</v>
      </c>
      <c r="D15" s="96" t="n">
        <v>4000</v>
      </c>
      <c r="E15" s="97" t="inlineStr">
        <is>
          <t>Per bath / vanity, toilet, fixtures, paint</t>
        </is>
      </c>
    </row>
    <row r="16" ht="18" customHeight="1" s="110">
      <c r="A16" s="92" t="inlineStr">
        <is>
          <t>Bathroom - Mid Remodel</t>
        </is>
      </c>
      <c r="B16" s="96" t="n">
        <v>6000</v>
      </c>
      <c r="C16" s="96" t="n">
        <v>9000</v>
      </c>
      <c r="D16" s="96" t="n">
        <v>12000</v>
      </c>
      <c r="E16" s="97" t="inlineStr">
        <is>
          <t>Per bath / tile surround, new vanity, toilet</t>
        </is>
      </c>
    </row>
    <row r="17" ht="18" customHeight="1" s="110">
      <c r="A17" s="92" t="inlineStr">
        <is>
          <t>Bathroom - Full Gut</t>
        </is>
      </c>
      <c r="B17" s="96" t="n">
        <v>12000</v>
      </c>
      <c r="C17" s="96" t="n">
        <v>16000</v>
      </c>
      <c r="D17" s="96" t="n">
        <v>20000</v>
      </c>
      <c r="E17" s="97" t="inlineStr">
        <is>
          <t>Per bath / complete gut and rebuild</t>
        </is>
      </c>
    </row>
    <row r="18" ht="18" customHeight="1" s="110">
      <c r="A18" s="91" t="inlineStr">
        <is>
          <t xml:space="preserve">  ── MECHANICAL SYSTEMS ──</t>
        </is>
      </c>
    </row>
    <row r="19" ht="18" customHeight="1" s="110">
      <c r="A19" s="92" t="inlineStr">
        <is>
          <t>HVAC - Full Replacement</t>
        </is>
      </c>
      <c r="B19" s="96" t="n">
        <v>7000</v>
      </c>
      <c r="C19" s="96" t="n">
        <v>10000</v>
      </c>
      <c r="D19" s="96" t="n">
        <v>13000</v>
      </c>
      <c r="E19" s="97" t="inlineStr">
        <is>
          <t>Flat / central air + heat replacement</t>
        </is>
      </c>
    </row>
    <row r="20" ht="18" customHeight="1" s="110">
      <c r="A20" s="92" t="inlineStr">
        <is>
          <t>Mini-Split (per Zone)</t>
        </is>
      </c>
      <c r="B20" s="96" t="n">
        <v>3000</v>
      </c>
      <c r="C20" s="96" t="n">
        <v>4500</v>
      </c>
      <c r="D20" s="96" t="n">
        <v>6000</v>
      </c>
      <c r="E20" s="97" t="inlineStr">
        <is>
          <t>Per zone installed / good for additions or garages</t>
        </is>
      </c>
    </row>
    <row r="21" ht="18" customHeight="1" s="110">
      <c r="A21" s="92" t="inlineStr">
        <is>
          <t>Water Heater - Tank</t>
        </is>
      </c>
      <c r="B21" s="96" t="n">
        <v>1200</v>
      </c>
      <c r="C21" s="96" t="n">
        <v>1850</v>
      </c>
      <c r="D21" s="96" t="n">
        <v>2500</v>
      </c>
      <c r="E21" s="97" t="inlineStr">
        <is>
          <t>Flat installed</t>
        </is>
      </c>
    </row>
    <row r="22" ht="18" customHeight="1" s="110">
      <c r="A22" s="92" t="inlineStr">
        <is>
          <t>Water Heater - Tankless</t>
        </is>
      </c>
      <c r="B22" s="96" t="n">
        <v>2800</v>
      </c>
      <c r="C22" s="96" t="n">
        <v>3900</v>
      </c>
      <c r="D22" s="96" t="n">
        <v>5000</v>
      </c>
      <c r="E22" s="97" t="inlineStr">
        <is>
          <t>Flat installed</t>
        </is>
      </c>
    </row>
    <row r="23" ht="18" customHeight="1" s="110">
      <c r="A23" s="92" t="inlineStr">
        <is>
          <t>Electrical Panel Upgrade</t>
        </is>
      </c>
      <c r="B23" s="96" t="n">
        <v>2500</v>
      </c>
      <c r="C23" s="96" t="n">
        <v>3750</v>
      </c>
      <c r="D23" s="96" t="n">
        <v>5000</v>
      </c>
      <c r="E23" s="97" t="inlineStr">
        <is>
          <t>Flat / 100A → 200A service upgrade</t>
        </is>
      </c>
    </row>
    <row r="24" ht="18" customHeight="1" s="110">
      <c r="A24" s="91" t="inlineStr">
        <is>
          <t xml:space="preserve">  ── DOORS, WINDOWS &amp; LIGHTING ──</t>
        </is>
      </c>
    </row>
    <row r="25" ht="18" customHeight="1" s="110">
      <c r="A25" s="92" t="inlineStr">
        <is>
          <t>Interior Door</t>
        </is>
      </c>
      <c r="B25" s="96" t="n">
        <v>250</v>
      </c>
      <c r="C25" s="96" t="n">
        <v>350</v>
      </c>
      <c r="D25" s="96" t="n">
        <v>450</v>
      </c>
      <c r="E25" s="97" t="inlineStr">
        <is>
          <t>Per door installed (slab + hardware + install)</t>
        </is>
      </c>
    </row>
    <row r="26" ht="18" customHeight="1" s="110">
      <c r="A26" s="92" t="inlineStr">
        <is>
          <t>Exterior Door</t>
        </is>
      </c>
      <c r="B26" s="96" t="n">
        <v>1000</v>
      </c>
      <c r="C26" s="96" t="n">
        <v>1750</v>
      </c>
      <c r="D26" s="96" t="n">
        <v>2500</v>
      </c>
      <c r="E26" s="97" t="inlineStr">
        <is>
          <t>Per door installed (entry-grade to premium)</t>
        </is>
      </c>
    </row>
    <row r="27" ht="18" customHeight="1" s="110">
      <c r="A27" s="92" t="inlineStr">
        <is>
          <t>Window Replacement</t>
        </is>
      </c>
      <c r="B27" s="96" t="n">
        <v>500</v>
      </c>
      <c r="C27" s="96" t="n">
        <v>700</v>
      </c>
      <c r="D27" s="96" t="n">
        <v>900</v>
      </c>
      <c r="E27" s="97" t="inlineStr">
        <is>
          <t>Per window installed / standard double-pane</t>
        </is>
      </c>
    </row>
    <row r="28" ht="18" customHeight="1" s="110">
      <c r="A28" s="92" t="inlineStr">
        <is>
          <t>Light Fixture</t>
        </is>
      </c>
      <c r="B28" s="96" t="n">
        <v>150</v>
      </c>
      <c r="C28" s="96" t="n">
        <v>250</v>
      </c>
      <c r="D28" s="96" t="n">
        <v>350</v>
      </c>
      <c r="E28" s="97" t="inlineStr">
        <is>
          <t>Per fixture installed (basic to designer)</t>
        </is>
      </c>
    </row>
    <row r="29" ht="18" customHeight="1" s="110">
      <c r="A29" s="91" t="inlineStr">
        <is>
          <t xml:space="preserve">  ── EXTERIOR &amp; CURB APPEAL ──</t>
        </is>
      </c>
    </row>
    <row r="30" ht="18" customHeight="1" s="110">
      <c r="A30" s="92" t="inlineStr">
        <is>
          <t>Exterior Paint</t>
        </is>
      </c>
      <c r="B30" s="93" t="n">
        <v>1</v>
      </c>
      <c r="C30" s="93" t="n">
        <v>1.75</v>
      </c>
      <c r="D30" s="93" t="n">
        <v>2.5</v>
      </c>
      <c r="E30" s="97" t="inlineStr">
        <is>
          <t>$/sqft of home living area</t>
        </is>
      </c>
    </row>
    <row r="31" ht="18" customHeight="1" s="110">
      <c r="A31" s="92" t="inlineStr">
        <is>
          <t>Landscaping Refresh</t>
        </is>
      </c>
      <c r="B31" s="96" t="n">
        <v>500</v>
      </c>
      <c r="C31" s="96" t="n">
        <v>2000</v>
      </c>
      <c r="D31" s="96" t="n">
        <v>3500</v>
      </c>
      <c r="E31" s="97" t="inlineStr">
        <is>
          <t>Flat / cleanup, mulch, shrubs, edging</t>
        </is>
      </c>
    </row>
    <row r="32" ht="18" customHeight="1" s="110">
      <c r="A32" s="92" t="inlineStr">
        <is>
          <t>Driveway Reseal / Repair</t>
        </is>
      </c>
      <c r="B32" s="96" t="n">
        <v>500</v>
      </c>
      <c r="C32" s="96" t="n">
        <v>1250</v>
      </c>
      <c r="D32" s="96" t="n">
        <v>2000</v>
      </c>
      <c r="E32" s="97" t="inlineStr">
        <is>
          <t>Flat / patch, resurface, seal</t>
        </is>
      </c>
    </row>
    <row r="33" ht="18" customHeight="1" s="110">
      <c r="A33" s="92" t="inlineStr">
        <is>
          <t>New Sod</t>
        </is>
      </c>
      <c r="B33" s="93" t="n">
        <v>1.5</v>
      </c>
      <c r="C33" s="93" t="n">
        <v>2.25</v>
      </c>
      <c r="D33" s="93" t="n">
        <v>3</v>
      </c>
      <c r="E33" s="97" t="inlineStr">
        <is>
          <t>$/sqft installed / including grading and soil prep</t>
        </is>
      </c>
    </row>
    <row r="34" ht="18" customHeight="1" s="110">
      <c r="A34" s="92" t="inlineStr">
        <is>
          <t>Fencing</t>
        </is>
      </c>
      <c r="B34" s="93" t="n">
        <v>15</v>
      </c>
      <c r="C34" s="93" t="n">
        <v>25</v>
      </c>
      <c r="D34" s="93" t="n">
        <v>35</v>
      </c>
      <c r="E34" s="97" t="inlineStr">
        <is>
          <t>$/linear ft installed (wood = low, vinyl = high)</t>
        </is>
      </c>
    </row>
    <row r="35" ht="18" customHeight="1" s="110">
      <c r="A35" s="91" t="inlineStr">
        <is>
          <t xml:space="preserve">  ── STR AMENITY ADD-ONS ──</t>
        </is>
      </c>
    </row>
    <row r="36" ht="18" customHeight="1" s="110">
      <c r="A36" s="92" t="inlineStr">
        <is>
          <t>Hot Tub</t>
        </is>
      </c>
      <c r="B36" s="96" t="n">
        <v>7000</v>
      </c>
      <c r="C36" s="96" t="n">
        <v>14000</v>
      </c>
      <c r="D36" s="96" t="n">
        <v>22000</v>
      </c>
      <c r="E36" s="97" t="inlineStr">
        <is>
          <t>Flat / electrical, concrete pad, unit</t>
        </is>
      </c>
    </row>
    <row r="37" ht="18" customHeight="1" s="110">
      <c r="A37" s="92" t="inlineStr">
        <is>
          <t>Pool - Fiberglass Inground</t>
        </is>
      </c>
      <c r="B37" s="96" t="n">
        <v>45000</v>
      </c>
      <c r="C37" s="96" t="n">
        <v>65000</v>
      </c>
      <c r="D37" s="96" t="n">
        <v>85000</v>
      </c>
      <c r="E37" s="97" t="inlineStr">
        <is>
          <t>Flat / shell, excavation, plumbing, equipment</t>
        </is>
      </c>
    </row>
    <row r="38" ht="18" customHeight="1" s="110">
      <c r="A38" s="92" t="inlineStr">
        <is>
          <t>Pool - Gunite / Concrete</t>
        </is>
      </c>
      <c r="B38" s="96" t="n">
        <v>60000</v>
      </c>
      <c r="C38" s="96" t="n">
        <v>85000</v>
      </c>
      <c r="D38" s="96" t="n">
        <v>110000</v>
      </c>
      <c r="E38" s="97" t="inlineStr">
        <is>
          <t>Flat / custom concrete, longer install timeline</t>
        </is>
      </c>
    </row>
    <row r="39" ht="18" customHeight="1" s="110">
      <c r="A39" s="92" t="inlineStr">
        <is>
          <t>Plunge Pool</t>
        </is>
      </c>
      <c r="B39" s="96" t="n">
        <v>25000</v>
      </c>
      <c r="C39" s="96" t="n">
        <v>35000</v>
      </c>
      <c r="D39" s="96" t="n">
        <v>50000</v>
      </c>
      <c r="E39" s="97" t="inlineStr">
        <is>
          <t>Flat / smaller footprint, good for tight lots</t>
        </is>
      </c>
    </row>
    <row r="40" ht="18" customHeight="1" s="110">
      <c r="A40" s="92" t="inlineStr">
        <is>
          <t>Volleyball Sand Court</t>
        </is>
      </c>
      <c r="B40" s="96" t="n">
        <v>1500</v>
      </c>
      <c r="C40" s="96" t="n">
        <v>3500</v>
      </c>
      <c r="D40" s="96" t="n">
        <v>7000</v>
      </c>
      <c r="E40" s="97" t="inlineStr">
        <is>
          <t>Flat / high end includes drainage, posts, net, border</t>
        </is>
      </c>
    </row>
    <row r="41" ht="18" customHeight="1" s="110">
      <c r="A41" s="92" t="inlineStr">
        <is>
          <t>Fire Pit - Prefab</t>
        </is>
      </c>
      <c r="B41" s="96" t="n">
        <v>500</v>
      </c>
      <c r="C41" s="96" t="n">
        <v>1000</v>
      </c>
      <c r="D41" s="96" t="n">
        <v>2000</v>
      </c>
      <c r="E41" s="97" t="inlineStr">
        <is>
          <t>Flat / prefab unit + basic patio installation</t>
        </is>
      </c>
    </row>
    <row r="42" ht="18" customHeight="1" s="110">
      <c r="A42" s="92" t="inlineStr">
        <is>
          <t>Fire Pit - Built-In Stone</t>
        </is>
      </c>
      <c r="B42" s="96" t="n">
        <v>2000</v>
      </c>
      <c r="C42" s="96" t="n">
        <v>4000</v>
      </c>
      <c r="D42" s="96" t="n">
        <v>7000</v>
      </c>
      <c r="E42" s="97" t="inlineStr">
        <is>
          <t>Flat / custom masonry, gas or wood</t>
        </is>
      </c>
    </row>
    <row r="43" ht="18" customHeight="1" s="110">
      <c r="A43" s="92" t="inlineStr">
        <is>
          <t>Outdoor Kitchen - Basic</t>
        </is>
      </c>
      <c r="B43" s="96" t="n">
        <v>3000</v>
      </c>
      <c r="C43" s="96" t="n">
        <v>6000</v>
      </c>
      <c r="D43" s="96" t="n">
        <v>10000</v>
      </c>
      <c r="E43" s="97" t="inlineStr">
        <is>
          <t>Flat / grill, counter surface, basic hookups</t>
        </is>
      </c>
    </row>
    <row r="44" ht="18" customHeight="1" s="110">
      <c r="A44" s="92" t="inlineStr">
        <is>
          <t>Outdoor Kitchen - Full</t>
        </is>
      </c>
      <c r="B44" s="96" t="n">
        <v>10000</v>
      </c>
      <c r="C44" s="96" t="n">
        <v>17000</v>
      </c>
      <c r="D44" s="96" t="n">
        <v>25000</v>
      </c>
      <c r="E44" s="97" t="inlineStr">
        <is>
          <t>Flat / grill, fridge, sink, bar seating, shade</t>
        </is>
      </c>
    </row>
    <row r="45" ht="18" customHeight="1" s="110">
      <c r="A45" s="92" t="inlineStr">
        <is>
          <t>Pergola - Prefab Kit</t>
        </is>
      </c>
      <c r="B45" s="96" t="n">
        <v>3000</v>
      </c>
      <c r="C45" s="96" t="n">
        <v>5500</v>
      </c>
      <c r="D45" s="96" t="n">
        <v>9000</v>
      </c>
      <c r="E45" s="97" t="inlineStr">
        <is>
          <t>Flat / kit assembly + concrete footings</t>
        </is>
      </c>
    </row>
    <row r="46" ht="18" customHeight="1" s="110">
      <c r="A46" s="92" t="inlineStr">
        <is>
          <t>Pergola - Custom Built</t>
        </is>
      </c>
      <c r="B46" s="96" t="n">
        <v>8000</v>
      </c>
      <c r="C46" s="96" t="n">
        <v>13000</v>
      </c>
      <c r="D46" s="96" t="n">
        <v>20000</v>
      </c>
      <c r="E46" s="97" t="inlineStr">
        <is>
          <t>Flat / custom lumber, posts, roof panels</t>
        </is>
      </c>
    </row>
    <row r="47" ht="18" customHeight="1" s="110">
      <c r="A47" s="92" t="inlineStr">
        <is>
          <t>Game Room Setup</t>
        </is>
      </c>
      <c r="B47" s="96" t="n">
        <v>3500</v>
      </c>
      <c r="C47" s="96" t="n">
        <v>5000</v>
      </c>
      <c r="D47" s="96" t="n">
        <v>11000</v>
      </c>
      <c r="E47" s="97" t="inlineStr">
        <is>
          <t>Flat / pool table, foosball, seating, lighting, TV, game console, Basketball hoop, poker table</t>
        </is>
      </c>
    </row>
    <row r="48" ht="18" customHeight="1" s="110">
      <c r="A48" s="92" t="inlineStr">
        <is>
          <t>Putting Green (Artificial Turf)</t>
        </is>
      </c>
      <c r="B48" s="96" t="n">
        <v>5000</v>
      </c>
      <c r="C48" s="96" t="n">
        <v>9000</v>
      </c>
      <c r="D48" s="96" t="n">
        <v>15000</v>
      </c>
      <c r="E48" s="97" t="inlineStr">
        <is>
          <t>Flat / turf, framing, cups, border edging</t>
        </is>
      </c>
    </row>
    <row r="49" ht="15.75" customHeight="1" s="110"/>
    <row r="50" ht="15.75" customHeight="1" s="110"/>
    <row r="51" ht="15.75" customHeight="1" s="110"/>
    <row r="52" ht="15.75" customHeight="1" s="110"/>
    <row r="53" ht="15.75" customHeight="1" s="110"/>
    <row r="54" ht="15.75" customHeight="1" s="110"/>
    <row r="55" ht="15.75" customHeight="1" s="110"/>
    <row r="56" ht="15.75" customHeight="1" s="110"/>
    <row r="57" ht="15.75" customHeight="1" s="110"/>
    <row r="58" ht="15.75" customHeight="1" s="110"/>
    <row r="59" ht="15.75" customHeight="1" s="110"/>
    <row r="60" ht="15.75" customHeight="1" s="110"/>
    <row r="61" ht="15.75" customHeight="1" s="110"/>
    <row r="62" ht="15.75" customHeight="1" s="110"/>
    <row r="63" ht="15.75" customHeight="1" s="110"/>
    <row r="64" ht="15.75" customHeight="1" s="110"/>
    <row r="65" ht="15.75" customHeight="1" s="110"/>
    <row r="66" ht="15.75" customHeight="1" s="110"/>
    <row r="67" ht="15.75" customHeight="1" s="110"/>
    <row r="68" ht="15.75" customHeight="1" s="110"/>
    <row r="69" ht="15.75" customHeight="1" s="110"/>
    <row r="70" ht="15.75" customHeight="1" s="110"/>
    <row r="71" ht="15.75" customHeight="1" s="110"/>
    <row r="72" ht="15.75" customHeight="1" s="110"/>
    <row r="73" ht="15.75" customHeight="1" s="110"/>
    <row r="74" ht="15.75" customHeight="1" s="110"/>
    <row r="75" ht="15.75" customHeight="1" s="110"/>
    <row r="76" ht="15.75" customHeight="1" s="110"/>
    <row r="77" ht="15.75" customHeight="1" s="110"/>
    <row r="78" ht="15.75" customHeight="1" s="110"/>
    <row r="79" ht="15.75" customHeight="1" s="110"/>
    <row r="80" ht="15.75" customHeight="1" s="110"/>
    <row r="81" ht="15.75" customHeight="1" s="110"/>
    <row r="82" ht="15.75" customHeight="1" s="110"/>
    <row r="83" ht="15.75" customHeight="1" s="110"/>
    <row r="84" ht="15.75" customHeight="1" s="110"/>
    <row r="85" ht="15.75" customHeight="1" s="110"/>
    <row r="86" ht="15.75" customHeight="1" s="110"/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5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15.75" customHeight="1" s="110"/>
    <row r="124" ht="15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5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9">
    <mergeCell ref="A29:E29"/>
    <mergeCell ref="A35:E35"/>
    <mergeCell ref="A24:E24"/>
    <mergeCell ref="A2:E2"/>
    <mergeCell ref="A7:E7"/>
    <mergeCell ref="A10:E10"/>
    <mergeCell ref="A14:E14"/>
    <mergeCell ref="A18:E18"/>
    <mergeCell ref="A3:E3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3B7DD8"/>
    <outlinePr summaryBelow="1" summaryRight="1"/>
    <pageSetUpPr/>
  </sheetPr>
  <dimension ref="A1:Z240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10" min="1" max="1"/>
    <col width="30" customWidth="1" style="110" min="2" max="2"/>
    <col width="14" customWidth="1" style="110" min="3" max="12"/>
  </cols>
  <sheetData>
    <row r="1" ht="19.5" customHeight="1" s="110">
      <c r="A1" s="28" t="n"/>
      <c r="B1" s="98" t="inlineStr">
        <is>
          <t>LONG-TERM OUTLOOK — 10 YEAR PROJECTION</t>
        </is>
      </c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15" customHeight="1" s="110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110">
      <c r="A3" s="28" t="n"/>
      <c r="B3" s="100" t="inlineStr">
        <is>
          <t xml:space="preserve">  ASSUMPTIONS</t>
        </is>
      </c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110">
      <c r="A4" s="28" t="n"/>
      <c r="B4" s="26" t="inlineStr">
        <is>
          <t>Annual Income Increase</t>
        </is>
      </c>
      <c r="C4" s="102" t="n">
        <v>0.03</v>
      </c>
      <c r="D4" s="26" t="inlineStr">
        <is>
          <t>Annual Expense Increase</t>
        </is>
      </c>
      <c r="E4" s="102" t="n">
        <v>0.03</v>
      </c>
      <c r="F4" s="37" t="n"/>
      <c r="G4" s="26" t="inlineStr">
        <is>
          <t>Annual Appreciation</t>
        </is>
      </c>
      <c r="H4" s="102" t="n">
        <v>0.03</v>
      </c>
      <c r="I4" s="37" t="n"/>
      <c r="J4" s="26" t="inlineStr">
        <is>
          <t>Selling Costs %</t>
        </is>
      </c>
      <c r="K4" s="102" t="n">
        <v>0.07000000000000001</v>
      </c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110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110">
      <c r="A6" s="28" t="n"/>
      <c r="B6" s="103" t="inlineStr">
        <is>
          <t>Year</t>
        </is>
      </c>
      <c r="C6" s="104" t="n">
        <v>1</v>
      </c>
      <c r="D6" s="104" t="n">
        <v>2</v>
      </c>
      <c r="E6" s="104" t="n">
        <v>3</v>
      </c>
      <c r="F6" s="104" t="n">
        <v>4</v>
      </c>
      <c r="G6" s="104" t="n">
        <v>5</v>
      </c>
      <c r="H6" s="104" t="n">
        <v>6</v>
      </c>
      <c r="I6" s="104" t="n">
        <v>7</v>
      </c>
      <c r="J6" s="104" t="n">
        <v>8</v>
      </c>
      <c r="K6" s="104" t="n">
        <v>9</v>
      </c>
      <c r="L6" s="104" t="n">
        <v>10</v>
      </c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110">
      <c r="A7" s="28" t="n"/>
      <c r="B7" s="105" t="inlineStr">
        <is>
          <t xml:space="preserve">  INCOME</t>
        </is>
      </c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110">
      <c r="A8" s="28" t="n"/>
      <c r="B8" s="26" t="inlineStr">
        <is>
          <t>Gross Revenue</t>
        </is>
      </c>
      <c r="C8" s="40">
        <f>'STR Deal Analyzer'!C38</f>
        <v/>
      </c>
      <c r="D8" s="40">
        <f>C8*(1+$C$4)</f>
        <v/>
      </c>
      <c r="E8" s="40">
        <f>D8*(1+$C$4)</f>
        <v/>
      </c>
      <c r="F8" s="40">
        <f>E8*(1+$C$4)</f>
        <v/>
      </c>
      <c r="G8" s="40">
        <f>F8*(1+$C$4)</f>
        <v/>
      </c>
      <c r="H8" s="40">
        <f>G8*(1+$C$4)</f>
        <v/>
      </c>
      <c r="I8" s="40">
        <f>H8*(1+$C$4)</f>
        <v/>
      </c>
      <c r="J8" s="40">
        <f>I8*(1+$C$4)</f>
        <v/>
      </c>
      <c r="K8" s="40">
        <f>J8*(1+$C$4)</f>
        <v/>
      </c>
      <c r="L8" s="40">
        <f>K8*(1+$C$4)</f>
        <v/>
      </c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110">
      <c r="A9" s="28" t="n"/>
      <c r="B9" s="26" t="inlineStr">
        <is>
          <t>OTA Fees</t>
        </is>
      </c>
      <c r="C9" s="40">
        <f>'STR Deal Analyzer'!F45</f>
        <v/>
      </c>
      <c r="D9" s="40">
        <f>C9*(1+$C$4)</f>
        <v/>
      </c>
      <c r="E9" s="40">
        <f>D9*(1+$C$4)</f>
        <v/>
      </c>
      <c r="F9" s="40">
        <f>E9*(1+$C$4)</f>
        <v/>
      </c>
      <c r="G9" s="40">
        <f>F9*(1+$C$4)</f>
        <v/>
      </c>
      <c r="H9" s="40">
        <f>G9*(1+$C$4)</f>
        <v/>
      </c>
      <c r="I9" s="40">
        <f>H9*(1+$C$4)</f>
        <v/>
      </c>
      <c r="J9" s="40">
        <f>I9*(1+$C$4)</f>
        <v/>
      </c>
      <c r="K9" s="40">
        <f>J9*(1+$C$4)</f>
        <v/>
      </c>
      <c r="L9" s="40">
        <f>K9*(1+$C$4)</f>
        <v/>
      </c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110">
      <c r="A10" s="28" t="n"/>
      <c r="B10" s="26" t="inlineStr">
        <is>
          <t>Cleaning Payouts</t>
        </is>
      </c>
      <c r="C10" s="40">
        <f>'STR Deal Analyzer'!C49</f>
        <v/>
      </c>
      <c r="D10" s="40">
        <f>C10*(1+$E$4)</f>
        <v/>
      </c>
      <c r="E10" s="40">
        <f>D10*(1+$E$4)</f>
        <v/>
      </c>
      <c r="F10" s="40">
        <f>E10*(1+$E$4)</f>
        <v/>
      </c>
      <c r="G10" s="40">
        <f>F10*(1+$E$4)</f>
        <v/>
      </c>
      <c r="H10" s="40">
        <f>G10*(1+$E$4)</f>
        <v/>
      </c>
      <c r="I10" s="40">
        <f>H10*(1+$E$4)</f>
        <v/>
      </c>
      <c r="J10" s="40">
        <f>I10*(1+$E$4)</f>
        <v/>
      </c>
      <c r="K10" s="40">
        <f>J10*(1+$E$4)</f>
        <v/>
      </c>
      <c r="L10" s="40">
        <f>K10*(1+$E$4)</f>
        <v/>
      </c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110">
      <c r="A11" s="28" t="n"/>
      <c r="B11" s="24" t="inlineStr">
        <is>
          <t>Host Accommodation Revenue</t>
        </is>
      </c>
      <c r="C11" s="30">
        <f>C8-C9-C10</f>
        <v/>
      </c>
      <c r="D11" s="30">
        <f>D8-D9-D10</f>
        <v/>
      </c>
      <c r="E11" s="30">
        <f>E8-E9-E10</f>
        <v/>
      </c>
      <c r="F11" s="30">
        <f>F8-F9-F10</f>
        <v/>
      </c>
      <c r="G11" s="30">
        <f>G8-G9-G10</f>
        <v/>
      </c>
      <c r="H11" s="30">
        <f>H8-H9-H10</f>
        <v/>
      </c>
      <c r="I11" s="30">
        <f>I8-I9-I10</f>
        <v/>
      </c>
      <c r="J11" s="30">
        <f>J8-J9-J10</f>
        <v/>
      </c>
      <c r="K11" s="30">
        <f>K8-K9-K10</f>
        <v/>
      </c>
      <c r="L11" s="30">
        <f>L8-L9-L10</f>
        <v/>
      </c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5" customHeight="1" s="110">
      <c r="A12" s="28" t="n"/>
      <c r="B12" s="26" t="inlineStr">
        <is>
          <t>Management Fee</t>
        </is>
      </c>
      <c r="C12" s="40">
        <f>'STR Deal Analyzer'!F56</f>
        <v/>
      </c>
      <c r="D12" s="40">
        <f>D11*'STR Deal Analyzer'!C56</f>
        <v/>
      </c>
      <c r="E12" s="40">
        <f>E11*'STR Deal Analyzer'!C56</f>
        <v/>
      </c>
      <c r="F12" s="40">
        <f>F11*'STR Deal Analyzer'!C56</f>
        <v/>
      </c>
      <c r="G12" s="40">
        <f>G11*'STR Deal Analyzer'!C56</f>
        <v/>
      </c>
      <c r="H12" s="40">
        <f>H11*'STR Deal Analyzer'!C56</f>
        <v/>
      </c>
      <c r="I12" s="40">
        <f>I11*'STR Deal Analyzer'!C56</f>
        <v/>
      </c>
      <c r="J12" s="40">
        <f>J11*'STR Deal Analyzer'!C56</f>
        <v/>
      </c>
      <c r="K12" s="40">
        <f>K11*'STR Deal Analyzer'!C56</f>
        <v/>
      </c>
      <c r="L12" s="40">
        <f>L11*'STR Deal Analyzer'!C56</f>
        <v/>
      </c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110">
      <c r="A13" s="28" t="n"/>
      <c r="B13" s="24" t="inlineStr">
        <is>
          <t>Net Revenue to Owner</t>
        </is>
      </c>
      <c r="C13" s="30">
        <f>C11-C12</f>
        <v/>
      </c>
      <c r="D13" s="30">
        <f>D11-D12</f>
        <v/>
      </c>
      <c r="E13" s="30">
        <f>E11-E12</f>
        <v/>
      </c>
      <c r="F13" s="30">
        <f>F11-F12</f>
        <v/>
      </c>
      <c r="G13" s="30">
        <f>G11-G12</f>
        <v/>
      </c>
      <c r="H13" s="30">
        <f>H11-H12</f>
        <v/>
      </c>
      <c r="I13" s="30">
        <f>I11-I12</f>
        <v/>
      </c>
      <c r="J13" s="30">
        <f>J11-J12</f>
        <v/>
      </c>
      <c r="K13" s="30">
        <f>K11-K12</f>
        <v/>
      </c>
      <c r="L13" s="30">
        <f>L11-L12</f>
        <v/>
      </c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110">
      <c r="A14" s="28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110">
      <c r="A15" s="28" t="n"/>
      <c r="B15" s="105" t="inlineStr">
        <is>
          <t xml:space="preserve">  OPERATING EXPENSES</t>
        </is>
      </c>
      <c r="C15" s="111" t="n"/>
      <c r="D15" s="111" t="n"/>
      <c r="E15" s="111" t="n"/>
      <c r="F15" s="111" t="n"/>
      <c r="G15" s="111" t="n"/>
      <c r="H15" s="111" t="n"/>
      <c r="I15" s="111" t="n"/>
      <c r="J15" s="111" t="n"/>
      <c r="K15" s="111" t="n"/>
      <c r="L15" s="111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110">
      <c r="A16" s="28" t="n"/>
      <c r="B16" s="26" t="inlineStr">
        <is>
          <t>Fixed (Tax+Ins+HOA)</t>
        </is>
      </c>
      <c r="C16" s="40">
        <f>'STR Deal Analyzer'!C60+'STR Deal Analyzer'!F60+'STR Deal Analyzer'!C61</f>
        <v/>
      </c>
      <c r="D16" s="40">
        <f>C16*(1+$E$4)</f>
        <v/>
      </c>
      <c r="E16" s="40">
        <f>D16*(1+$E$4)</f>
        <v/>
      </c>
      <c r="F16" s="40">
        <f>E16*(1+$E$4)</f>
        <v/>
      </c>
      <c r="G16" s="40">
        <f>F16*(1+$E$4)</f>
        <v/>
      </c>
      <c r="H16" s="40">
        <f>G16*(1+$E$4)</f>
        <v/>
      </c>
      <c r="I16" s="40">
        <f>H16*(1+$E$4)</f>
        <v/>
      </c>
      <c r="J16" s="40">
        <f>I16*(1+$E$4)</f>
        <v/>
      </c>
      <c r="K16" s="40">
        <f>J16*(1+$E$4)</f>
        <v/>
      </c>
      <c r="L16" s="40">
        <f>K16*(1+$E$4)</f>
        <v/>
      </c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110">
      <c r="A17" s="28" t="n"/>
      <c r="B17" s="26" t="inlineStr">
        <is>
          <t>Variable Operating</t>
        </is>
      </c>
      <c r="C17" s="40">
        <f>'STR Deal Analyzer'!C72</f>
        <v/>
      </c>
      <c r="D17" s="40">
        <f>C17*(1+$E$4)</f>
        <v/>
      </c>
      <c r="E17" s="40">
        <f>D17*(1+$E$4)</f>
        <v/>
      </c>
      <c r="F17" s="40">
        <f>E17*(1+$E$4)</f>
        <v/>
      </c>
      <c r="G17" s="40">
        <f>F17*(1+$E$4)</f>
        <v/>
      </c>
      <c r="H17" s="40">
        <f>G17*(1+$E$4)</f>
        <v/>
      </c>
      <c r="I17" s="40">
        <f>H17*(1+$E$4)</f>
        <v/>
      </c>
      <c r="J17" s="40">
        <f>I17*(1+$E$4)</f>
        <v/>
      </c>
      <c r="K17" s="40">
        <f>J17*(1+$E$4)</f>
        <v/>
      </c>
      <c r="L17" s="40">
        <f>K17*(1+$E$4)</f>
        <v/>
      </c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110">
      <c r="A18" s="28" t="n"/>
      <c r="B18" s="24" t="inlineStr">
        <is>
          <t>Total Operating Expenses</t>
        </is>
      </c>
      <c r="C18" s="30">
        <f>C16+C17</f>
        <v/>
      </c>
      <c r="D18" s="30">
        <f>D16+D17</f>
        <v/>
      </c>
      <c r="E18" s="30">
        <f>E16+E17</f>
        <v/>
      </c>
      <c r="F18" s="30">
        <f>F16+F17</f>
        <v/>
      </c>
      <c r="G18" s="30">
        <f>G16+G17</f>
        <v/>
      </c>
      <c r="H18" s="30">
        <f>H16+H17</f>
        <v/>
      </c>
      <c r="I18" s="30">
        <f>I16+I17</f>
        <v/>
      </c>
      <c r="J18" s="30">
        <f>J16+J17</f>
        <v/>
      </c>
      <c r="K18" s="30">
        <f>K16+K17</f>
        <v/>
      </c>
      <c r="L18" s="30">
        <f>L16+L17</f>
        <v/>
      </c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110">
      <c r="A19" s="28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110">
      <c r="A20" s="28" t="n"/>
      <c r="B20" s="105" t="inlineStr">
        <is>
          <t xml:space="preserve">  CASH FLOW</t>
        </is>
      </c>
      <c r="C20" s="111" t="n"/>
      <c r="D20" s="111" t="n"/>
      <c r="E20" s="111" t="n"/>
      <c r="F20" s="111" t="n"/>
      <c r="G20" s="111" t="n"/>
      <c r="H20" s="111" t="n"/>
      <c r="I20" s="111" t="n"/>
      <c r="J20" s="111" t="n"/>
      <c r="K20" s="111" t="n"/>
      <c r="L20" s="111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" customHeight="1" s="110">
      <c r="A21" s="28" t="n"/>
      <c r="B21" s="24" t="inlineStr">
        <is>
          <t>NOI</t>
        </is>
      </c>
      <c r="C21" s="30">
        <f>C13-C18</f>
        <v/>
      </c>
      <c r="D21" s="30">
        <f>D13-D18</f>
        <v/>
      </c>
      <c r="E21" s="30">
        <f>E13-E18</f>
        <v/>
      </c>
      <c r="F21" s="30">
        <f>F13-F18</f>
        <v/>
      </c>
      <c r="G21" s="30">
        <f>G13-G18</f>
        <v/>
      </c>
      <c r="H21" s="30">
        <f>H13-H18</f>
        <v/>
      </c>
      <c r="I21" s="30">
        <f>I13-I18</f>
        <v/>
      </c>
      <c r="J21" s="30">
        <f>J13-J18</f>
        <v/>
      </c>
      <c r="K21" s="30">
        <f>K13-K18</f>
        <v/>
      </c>
      <c r="L21" s="30">
        <f>L13-L18</f>
        <v/>
      </c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" customHeight="1" s="110">
      <c r="A22" s="28" t="n"/>
      <c r="B22" s="26" t="inlineStr">
        <is>
          <t>Loan Payments</t>
        </is>
      </c>
      <c r="C22" s="40">
        <f>'STR Deal Analyzer'!F61</f>
        <v/>
      </c>
      <c r="D22" s="40">
        <f>C22</f>
        <v/>
      </c>
      <c r="E22" s="40">
        <f>C22</f>
        <v/>
      </c>
      <c r="F22" s="40">
        <f>C22</f>
        <v/>
      </c>
      <c r="G22" s="40">
        <f>C22</f>
        <v/>
      </c>
      <c r="H22" s="40">
        <f>C22</f>
        <v/>
      </c>
      <c r="I22" s="40">
        <f>C22</f>
        <v/>
      </c>
      <c r="J22" s="40">
        <f>C22</f>
        <v/>
      </c>
      <c r="K22" s="40">
        <f>C22</f>
        <v/>
      </c>
      <c r="L22" s="40">
        <f>C22</f>
        <v/>
      </c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" customHeight="1" s="110">
      <c r="A23" s="28" t="n"/>
      <c r="B23" s="24" t="inlineStr">
        <is>
          <t>Pre-Tax Cash Flow</t>
        </is>
      </c>
      <c r="C23" s="30">
        <f>C21-C22</f>
        <v/>
      </c>
      <c r="D23" s="30">
        <f>D21-D22</f>
        <v/>
      </c>
      <c r="E23" s="30">
        <f>E21-E22</f>
        <v/>
      </c>
      <c r="F23" s="30">
        <f>F21-F22</f>
        <v/>
      </c>
      <c r="G23" s="30">
        <f>G21-G22</f>
        <v/>
      </c>
      <c r="H23" s="30">
        <f>H21-H22</f>
        <v/>
      </c>
      <c r="I23" s="30">
        <f>I21-I22</f>
        <v/>
      </c>
      <c r="J23" s="30">
        <f>J21-J22</f>
        <v/>
      </c>
      <c r="K23" s="30">
        <f>K21-K22</f>
        <v/>
      </c>
      <c r="L23" s="30">
        <f>L21-L22</f>
        <v/>
      </c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" customHeight="1" s="110">
      <c r="A24" s="28" t="n"/>
      <c r="B24" s="26" t="inlineStr">
        <is>
          <t>Cumulative Pre-Tax CF</t>
        </is>
      </c>
      <c r="C24" s="40">
        <f>C23</f>
        <v/>
      </c>
      <c r="D24" s="40">
        <f>C24+D23</f>
        <v/>
      </c>
      <c r="E24" s="40">
        <f>D24+E23</f>
        <v/>
      </c>
      <c r="F24" s="40">
        <f>E24+F23</f>
        <v/>
      </c>
      <c r="G24" s="40">
        <f>F24+G23</f>
        <v/>
      </c>
      <c r="H24" s="40">
        <f>G24+H23</f>
        <v/>
      </c>
      <c r="I24" s="40">
        <f>H24+I23</f>
        <v/>
      </c>
      <c r="J24" s="40">
        <f>I24+J23</f>
        <v/>
      </c>
      <c r="K24" s="40">
        <f>J24+K23</f>
        <v/>
      </c>
      <c r="L24" s="40">
        <f>K24+L23</f>
        <v/>
      </c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10">
      <c r="A25" s="28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" customHeight="1" s="110">
      <c r="A26" s="28" t="n"/>
      <c r="B26" s="105" t="inlineStr">
        <is>
          <t xml:space="preserve">  TAX DEDUCTIONS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" customHeight="1" s="110">
      <c r="A27" s="28" t="n"/>
      <c r="B27" s="26" t="inlineStr">
        <is>
          <t>Annual Depreciation</t>
        </is>
      </c>
      <c r="C27" s="40">
        <f>'STR Deal Analyzer'!C87</f>
        <v/>
      </c>
      <c r="D27" s="40">
        <f>C27</f>
        <v/>
      </c>
      <c r="E27" s="40">
        <f>C27</f>
        <v/>
      </c>
      <c r="F27" s="40">
        <f>C27</f>
        <v/>
      </c>
      <c r="G27" s="40">
        <f>C27</f>
        <v/>
      </c>
      <c r="H27" s="40">
        <f>C27</f>
        <v/>
      </c>
      <c r="I27" s="40">
        <f>C27</f>
        <v/>
      </c>
      <c r="J27" s="40">
        <f>C27</f>
        <v/>
      </c>
      <c r="K27" s="40">
        <f>C27</f>
        <v/>
      </c>
      <c r="L27" s="40">
        <f>C27</f>
        <v/>
      </c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10">
      <c r="A28" s="28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" customHeight="1" s="110">
      <c r="A29" s="28" t="n"/>
      <c r="B29" s="105" t="inlineStr">
        <is>
          <t xml:space="preserve">  EQUITY &amp; SALE ANALYSIS</t>
        </is>
      </c>
      <c r="C29" s="111" t="n"/>
      <c r="D29" s="111" t="n"/>
      <c r="E29" s="111" t="n"/>
      <c r="F29" s="111" t="n"/>
      <c r="G29" s="111" t="n"/>
      <c r="H29" s="111" t="n"/>
      <c r="I29" s="111" t="n"/>
      <c r="J29" s="111" t="n"/>
      <c r="K29" s="111" t="n"/>
      <c r="L29" s="111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" customHeight="1" s="110">
      <c r="A30" s="28" t="n"/>
      <c r="B30" s="26" t="inlineStr">
        <is>
          <t>Property Value</t>
        </is>
      </c>
      <c r="C30" s="40">
        <f>IF('STR Deal Analyzer'!F14&gt;0,'STR Deal Analyzer'!F14,'STR Deal Analyzer'!C14)*(1+$H$4)</f>
        <v/>
      </c>
      <c r="D30" s="40">
        <f>C30*(1+$H$4)</f>
        <v/>
      </c>
      <c r="E30" s="40">
        <f>D30*(1+$H$4)</f>
        <v/>
      </c>
      <c r="F30" s="40">
        <f>E30*(1+$H$4)</f>
        <v/>
      </c>
      <c r="G30" s="40">
        <f>F30*(1+$H$4)</f>
        <v/>
      </c>
      <c r="H30" s="40">
        <f>G30*(1+$H$4)</f>
        <v/>
      </c>
      <c r="I30" s="40">
        <f>H30*(1+$H$4)</f>
        <v/>
      </c>
      <c r="J30" s="40">
        <f>I30*(1+$H$4)</f>
        <v/>
      </c>
      <c r="K30" s="40">
        <f>J30*(1+$H$4)</f>
        <v/>
      </c>
      <c r="L30" s="40">
        <f>K30*(1+$H$4)</f>
        <v/>
      </c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" customHeight="1" s="110">
      <c r="A31" s="28" t="n"/>
      <c r="B31" s="26" t="inlineStr">
        <is>
          <t>Loan Balance (approx)</t>
        </is>
      </c>
      <c r="C31" s="40">
        <f>IF('STR Deal Analyzer'!C29&gt;0,-PV('STR Deal Analyzer'!F29/12,'STR Deal Analyzer'!C30*12-12,-PMT('STR Deal Analyzer'!F29/12,'STR Deal Analyzer'!C30*12,'STR Deal Analyzer'!C29)),0)</f>
        <v/>
      </c>
      <c r="D31" s="40">
        <f>IF('STR Deal Analyzer'!C29&gt;0,-PV('STR Deal Analyzer'!F29/12,'STR Deal Analyzer'!C30*12-24,-PMT('STR Deal Analyzer'!F29/12,'STR Deal Analyzer'!C30*12,'STR Deal Analyzer'!C29)),0)</f>
        <v/>
      </c>
      <c r="E31" s="40">
        <f>IF('STR Deal Analyzer'!C29&gt;0,-PV('STR Deal Analyzer'!F29/12,'STR Deal Analyzer'!C30*12-36,-PMT('STR Deal Analyzer'!F29/12,'STR Deal Analyzer'!C30*12,'STR Deal Analyzer'!C29)),0)</f>
        <v/>
      </c>
      <c r="F31" s="40">
        <f>IF('STR Deal Analyzer'!C29&gt;0,-PV('STR Deal Analyzer'!F29/12,'STR Deal Analyzer'!C30*12-48,-PMT('STR Deal Analyzer'!F29/12,'STR Deal Analyzer'!C30*12,'STR Deal Analyzer'!C29)),0)</f>
        <v/>
      </c>
      <c r="G31" s="40">
        <f>IF('STR Deal Analyzer'!C29&gt;0,-PV('STR Deal Analyzer'!F29/12,'STR Deal Analyzer'!C30*12-60,-PMT('STR Deal Analyzer'!F29/12,'STR Deal Analyzer'!C30*12,'STR Deal Analyzer'!C29)),0)</f>
        <v/>
      </c>
      <c r="H31" s="40">
        <f>IF('STR Deal Analyzer'!C29&gt;0,-PV('STR Deal Analyzer'!F29/12,'STR Deal Analyzer'!C30*12-72,-PMT('STR Deal Analyzer'!F29/12,'STR Deal Analyzer'!C30*12,'STR Deal Analyzer'!C29)),0)</f>
        <v/>
      </c>
      <c r="I31" s="40">
        <f>IF('STR Deal Analyzer'!C29&gt;0,-PV('STR Deal Analyzer'!F29/12,'STR Deal Analyzer'!C30*12-84,-PMT('STR Deal Analyzer'!F29/12,'STR Deal Analyzer'!C30*12,'STR Deal Analyzer'!C29)),0)</f>
        <v/>
      </c>
      <c r="J31" s="40">
        <f>IF('STR Deal Analyzer'!C29&gt;0,-PV('STR Deal Analyzer'!F29/12,'STR Deal Analyzer'!C30*12-96,-PMT('STR Deal Analyzer'!F29/12,'STR Deal Analyzer'!C30*12,'STR Deal Analyzer'!C29)),0)</f>
        <v/>
      </c>
      <c r="K31" s="40">
        <f>IF('STR Deal Analyzer'!C29&gt;0,-PV('STR Deal Analyzer'!F29/12,'STR Deal Analyzer'!C30*12-108,-PMT('STR Deal Analyzer'!F29/12,'STR Deal Analyzer'!C30*12,'STR Deal Analyzer'!C29)),0)</f>
        <v/>
      </c>
      <c r="L31" s="40">
        <f>IF('STR Deal Analyzer'!C29&gt;0,-PV('STR Deal Analyzer'!F29/12,'STR Deal Analyzer'!C30*12-120,-PMT('STR Deal Analyzer'!F29/12,'STR Deal Analyzer'!C30*12,'STR Deal Analyzer'!C29)),0)</f>
        <v/>
      </c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 s="110">
      <c r="A32" s="28" t="n"/>
      <c r="B32" s="24" t="inlineStr">
        <is>
          <t>Net Equity</t>
        </is>
      </c>
      <c r="C32" s="30">
        <f>C30-C31</f>
        <v/>
      </c>
      <c r="D32" s="30">
        <f>D30-D31</f>
        <v/>
      </c>
      <c r="E32" s="30">
        <f>E30-E31</f>
        <v/>
      </c>
      <c r="F32" s="30">
        <f>F30-F31</f>
        <v/>
      </c>
      <c r="G32" s="30">
        <f>G30-G31</f>
        <v/>
      </c>
      <c r="H32" s="30">
        <f>H30-H31</f>
        <v/>
      </c>
      <c r="I32" s="30">
        <f>I30-I31</f>
        <v/>
      </c>
      <c r="J32" s="30">
        <f>J30-J31</f>
        <v/>
      </c>
      <c r="K32" s="30">
        <f>K30-K31</f>
        <v/>
      </c>
      <c r="L32" s="30">
        <f>L30-L31</f>
        <v/>
      </c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10">
      <c r="A33" s="28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" customHeight="1" s="110">
      <c r="A34" s="28" t="n"/>
      <c r="B34" s="26" t="inlineStr">
        <is>
          <t>Selling Costs</t>
        </is>
      </c>
      <c r="C34" s="40">
        <f>-C30*$K$4</f>
        <v/>
      </c>
      <c r="D34" s="40">
        <f>-D30*$K$4</f>
        <v/>
      </c>
      <c r="E34" s="40">
        <f>-E30*$K$4</f>
        <v/>
      </c>
      <c r="F34" s="40">
        <f>-F30*$K$4</f>
        <v/>
      </c>
      <c r="G34" s="40">
        <f>-G30*$K$4</f>
        <v/>
      </c>
      <c r="H34" s="40">
        <f>-H30*$K$4</f>
        <v/>
      </c>
      <c r="I34" s="40">
        <f>-I30*$K$4</f>
        <v/>
      </c>
      <c r="J34" s="40">
        <f>-J30*$K$4</f>
        <v/>
      </c>
      <c r="K34" s="40">
        <f>-K30*$K$4</f>
        <v/>
      </c>
      <c r="L34" s="40">
        <f>-L30*$K$4</f>
        <v/>
      </c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" customHeight="1" s="110">
      <c r="A35" s="28" t="n"/>
      <c r="B35" s="24" t="inlineStr">
        <is>
          <t>Net Sale Proceeds</t>
        </is>
      </c>
      <c r="C35" s="30">
        <f>C32+C34</f>
        <v/>
      </c>
      <c r="D35" s="30">
        <f>D32+D34</f>
        <v/>
      </c>
      <c r="E35" s="30">
        <f>E32+E34</f>
        <v/>
      </c>
      <c r="F35" s="30">
        <f>F32+F34</f>
        <v/>
      </c>
      <c r="G35" s="30">
        <f>G32+G34</f>
        <v/>
      </c>
      <c r="H35" s="30">
        <f>H32+H34</f>
        <v/>
      </c>
      <c r="I35" s="30">
        <f>I32+I34</f>
        <v/>
      </c>
      <c r="J35" s="30">
        <f>J32+J34</f>
        <v/>
      </c>
      <c r="K35" s="30">
        <f>K32+K34</f>
        <v/>
      </c>
      <c r="L35" s="30">
        <f>L32+L34</f>
        <v/>
      </c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10">
      <c r="A36" s="28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" customHeight="1" s="110">
      <c r="A37" s="28" t="n"/>
      <c r="B37" s="105" t="inlineStr">
        <is>
          <t xml:space="preserve">  INVESTMENT RETURNS</t>
        </is>
      </c>
      <c r="C37" s="111" t="n"/>
      <c r="D37" s="111" t="n"/>
      <c r="E37" s="111" t="n"/>
      <c r="F37" s="111" t="n"/>
      <c r="G37" s="111" t="n"/>
      <c r="H37" s="111" t="n"/>
      <c r="I37" s="111" t="n"/>
      <c r="J37" s="111" t="n"/>
      <c r="K37" s="111" t="n"/>
      <c r="L37" s="111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" customHeight="1" s="110">
      <c r="A38" s="28" t="n"/>
      <c r="B38" s="26" t="inlineStr">
        <is>
          <t>Cap Rate (Purchase Price)</t>
        </is>
      </c>
      <c r="C38" s="41">
        <f>IF('STR Deal Analyzer'!C14&gt;0,C21/'STR Deal Analyzer'!C14,0)</f>
        <v/>
      </c>
      <c r="D38" s="41">
        <f>IF('STR Deal Analyzer'!C14&gt;0,D21/'STR Deal Analyzer'!C14,0)</f>
        <v/>
      </c>
      <c r="E38" s="41">
        <f>IF('STR Deal Analyzer'!C14&gt;0,E21/'STR Deal Analyzer'!C14,0)</f>
        <v/>
      </c>
      <c r="F38" s="41">
        <f>IF('STR Deal Analyzer'!C14&gt;0,F21/'STR Deal Analyzer'!C14,0)</f>
        <v/>
      </c>
      <c r="G38" s="41">
        <f>IF('STR Deal Analyzer'!C14&gt;0,G21/'STR Deal Analyzer'!C14,0)</f>
        <v/>
      </c>
      <c r="H38" s="41">
        <f>IF('STR Deal Analyzer'!C14&gt;0,H21/'STR Deal Analyzer'!C14,0)</f>
        <v/>
      </c>
      <c r="I38" s="41">
        <f>IF('STR Deal Analyzer'!C14&gt;0,I21/'STR Deal Analyzer'!C14,0)</f>
        <v/>
      </c>
      <c r="J38" s="41">
        <f>IF('STR Deal Analyzer'!C14&gt;0,J21/'STR Deal Analyzer'!C14,0)</f>
        <v/>
      </c>
      <c r="K38" s="41">
        <f>IF('STR Deal Analyzer'!C14&gt;0,K21/'STR Deal Analyzer'!C14,0)</f>
        <v/>
      </c>
      <c r="L38" s="41">
        <f>IF('STR Deal Analyzer'!C14&gt;0,L21/'STR Deal Analyzer'!C14,0)</f>
        <v/>
      </c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" customHeight="1" s="110">
      <c r="A39" s="28" t="n"/>
      <c r="B39" s="26" t="inlineStr">
        <is>
          <t>Cash on Cash Return</t>
        </is>
      </c>
      <c r="C39" s="41">
        <f>IF('STR Deal Analyzer'!C33&gt;0,C23/'STR Deal Analyzer'!C33,0)</f>
        <v/>
      </c>
      <c r="D39" s="41">
        <f>IF('STR Deal Analyzer'!C33&gt;0,D23/'STR Deal Analyzer'!C33,0)</f>
        <v/>
      </c>
      <c r="E39" s="41">
        <f>IF('STR Deal Analyzer'!C33&gt;0,E23/'STR Deal Analyzer'!C33,0)</f>
        <v/>
      </c>
      <c r="F39" s="41">
        <f>IF('STR Deal Analyzer'!C33&gt;0,F23/'STR Deal Analyzer'!C33,0)</f>
        <v/>
      </c>
      <c r="G39" s="41">
        <f>IF('STR Deal Analyzer'!C33&gt;0,G23/'STR Deal Analyzer'!C33,0)</f>
        <v/>
      </c>
      <c r="H39" s="41">
        <f>IF('STR Deal Analyzer'!C33&gt;0,H23/'STR Deal Analyzer'!C33,0)</f>
        <v/>
      </c>
      <c r="I39" s="41">
        <f>IF('STR Deal Analyzer'!C33&gt;0,I23/'STR Deal Analyzer'!C33,0)</f>
        <v/>
      </c>
      <c r="J39" s="41">
        <f>IF('STR Deal Analyzer'!C33&gt;0,J23/'STR Deal Analyzer'!C33,0)</f>
        <v/>
      </c>
      <c r="K39" s="41">
        <f>IF('STR Deal Analyzer'!C33&gt;0,K23/'STR Deal Analyzer'!C33,0)</f>
        <v/>
      </c>
      <c r="L39" s="41">
        <f>IF('STR Deal Analyzer'!C33&gt;0,L23/'STR Deal Analyzer'!C33,0)</f>
        <v/>
      </c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" customHeight="1" s="110">
      <c r="A40" s="28" t="n"/>
      <c r="B40" s="26" t="inlineStr">
        <is>
          <t>Return on Equity</t>
        </is>
      </c>
      <c r="C40" s="41">
        <f>IF(C32&gt;0,C23/C32,0)</f>
        <v/>
      </c>
      <c r="D40" s="41">
        <f>IF(D32&gt;0,D23/D32,0)</f>
        <v/>
      </c>
      <c r="E40" s="41">
        <f>IF(E32&gt;0,E23/E32,0)</f>
        <v/>
      </c>
      <c r="F40" s="41">
        <f>IF(F32&gt;0,F23/F32,0)</f>
        <v/>
      </c>
      <c r="G40" s="41">
        <f>IF(G32&gt;0,G23/G32,0)</f>
        <v/>
      </c>
      <c r="H40" s="41">
        <f>IF(H32&gt;0,H23/H32,0)</f>
        <v/>
      </c>
      <c r="I40" s="41">
        <f>IF(I32&gt;0,I23/I32,0)</f>
        <v/>
      </c>
      <c r="J40" s="41">
        <f>IF(J32&gt;0,J23/J32,0)</f>
        <v/>
      </c>
      <c r="K40" s="41">
        <f>IF(K32&gt;0,K23/K32,0)</f>
        <v/>
      </c>
      <c r="L40" s="41">
        <f>IF(L32&gt;0,L23/L32,0)</f>
        <v/>
      </c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10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10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10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10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10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10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10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10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10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1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10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10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10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10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10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10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10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10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10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1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10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10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10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10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10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10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10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10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10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1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10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10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10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10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10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10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10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10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10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1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10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10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10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10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10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10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10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10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10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1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10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10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10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10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10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10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10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10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10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1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10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10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10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10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10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10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10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10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10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10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10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10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10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10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10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10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10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10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1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10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10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10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10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10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10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10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10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10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1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10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10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10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10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10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10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10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10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10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1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10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10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10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10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10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10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10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10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10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1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10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10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10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10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10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10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10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10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10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10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10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10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10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10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10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10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10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10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10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10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10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10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10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10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10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10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10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10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10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10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10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10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10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10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10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10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10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10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10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10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10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10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10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10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10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10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10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10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10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10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10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10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10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10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10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10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10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10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10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10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10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10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10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10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10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10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10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10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10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10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10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</row>
    <row r="222" ht="15.75" customHeight="1" s="110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</row>
    <row r="223" ht="15.75" customHeight="1" s="110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</row>
    <row r="224" ht="15.75" customHeight="1" s="110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</row>
    <row r="225" ht="15.75" customHeight="1" s="110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</row>
    <row r="226" ht="15.75" customHeight="1" s="110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</row>
    <row r="227" ht="15.75" customHeight="1" s="110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</row>
    <row r="228" ht="15.75" customHeight="1" s="110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</row>
    <row r="229" ht="15.75" customHeight="1" s="110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</row>
    <row r="230" ht="15.75" customHeight="1" s="110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</row>
    <row r="231" ht="15.75" customHeight="1" s="110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</row>
    <row r="232" ht="15.75" customHeight="1" s="110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</row>
    <row r="233" ht="15.75" customHeight="1" s="110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</row>
    <row r="234" ht="15.75" customHeight="1" s="110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</row>
    <row r="235" ht="15.75" customHeight="1" s="110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</row>
    <row r="236" ht="15.75" customHeight="1" s="110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</row>
    <row r="237" ht="15.75" customHeight="1" s="110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</row>
    <row r="238" ht="15.75" customHeight="1" s="110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</row>
    <row r="239" ht="15.75" customHeight="1" s="110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</row>
    <row r="240" ht="15.75" customHeight="1" s="110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</row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6">
    <mergeCell ref="B26:L26"/>
    <mergeCell ref="B29:L29"/>
    <mergeCell ref="B7:L7"/>
    <mergeCell ref="B15:L15"/>
    <mergeCell ref="B20:L20"/>
    <mergeCell ref="B37:L37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C77C"/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10" min="1" max="1"/>
    <col width="16" customWidth="1" style="110" min="2" max="2"/>
    <col width="13" customWidth="1" style="110" min="3" max="9"/>
  </cols>
  <sheetData>
    <row r="1" ht="19.5" customHeight="1" s="110">
      <c r="A1" s="28" t="n"/>
      <c r="B1" s="107" t="inlineStr">
        <is>
          <t>COC SENSITIVITY — ADR vs OCCUPANCY</t>
        </is>
      </c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15" customHeight="1" s="110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110">
      <c r="A3" s="28" t="n"/>
      <c r="B3" s="26" t="inlineStr">
        <is>
          <t>Base ADR:</t>
        </is>
      </c>
      <c r="C3" s="40">
        <f>'STR Deal Analyzer'!C36</f>
        <v/>
      </c>
      <c r="D3" s="37" t="n"/>
      <c r="E3" s="37" t="n"/>
      <c r="F3" s="37" t="n"/>
      <c r="G3" s="37" t="n"/>
      <c r="H3" s="37" t="n"/>
      <c r="I3" s="37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110">
      <c r="A4" s="28" t="n"/>
      <c r="B4" s="26" t="inlineStr">
        <is>
          <t>Base Occ:</t>
        </is>
      </c>
      <c r="C4" s="41">
        <f>'STR Deal Analyzer'!F36</f>
        <v/>
      </c>
      <c r="D4" s="37" t="n"/>
      <c r="E4" s="37" t="n"/>
      <c r="F4" s="37" t="n"/>
      <c r="G4" s="37" t="n"/>
      <c r="H4" s="37" t="n"/>
      <c r="I4" s="37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110">
      <c r="A5" s="28" t="n"/>
      <c r="B5" s="26" t="inlineStr">
        <is>
          <t>Total Cash In:</t>
        </is>
      </c>
      <c r="C5" s="40">
        <f>'STR Deal Analyzer'!C33</f>
        <v/>
      </c>
      <c r="D5" s="37" t="n"/>
      <c r="E5" s="37" t="n"/>
      <c r="F5" s="37" t="n"/>
      <c r="G5" s="37" t="n"/>
      <c r="H5" s="37" t="n"/>
      <c r="I5" s="37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110">
      <c r="A6" s="28" t="n"/>
      <c r="B6" s="37" t="n"/>
      <c r="C6" s="37" t="n"/>
      <c r="D6" s="37" t="n"/>
      <c r="E6" s="37" t="n"/>
      <c r="F6" s="37" t="n"/>
      <c r="G6" s="37" t="n"/>
      <c r="H6" s="37" t="n"/>
      <c r="I6" s="37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110">
      <c r="A7" s="28" t="n"/>
      <c r="B7" s="104" t="inlineStr">
        <is>
          <t>COC %</t>
        </is>
      </c>
      <c r="C7" s="104" t="inlineStr">
        <is>
          <t>50% Occ</t>
        </is>
      </c>
      <c r="D7" s="104" t="inlineStr">
        <is>
          <t>55% Occ</t>
        </is>
      </c>
      <c r="E7" s="104" t="inlineStr">
        <is>
          <t>60% Occ</t>
        </is>
      </c>
      <c r="F7" s="104" t="inlineStr">
        <is>
          <t>65% Occ</t>
        </is>
      </c>
      <c r="G7" s="104" t="inlineStr">
        <is>
          <t>70% Occ</t>
        </is>
      </c>
      <c r="H7" s="104" t="inlineStr">
        <is>
          <t>75% Occ</t>
        </is>
      </c>
      <c r="I7" s="104" t="inlineStr">
        <is>
          <t>80% Occ</t>
        </is>
      </c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110">
      <c r="A8" s="28" t="n"/>
      <c r="B8" s="103" t="inlineStr">
        <is>
          <t>ADR $-75</t>
        </is>
      </c>
      <c r="C8" s="41">
        <f>IF(C5&gt;0,(((((C3-75)*'STR Deal Analyzer'!C37*0.5+'STR Deal Analyzer'!C48*'STR Deal Analyzer'!F48*12*0.5/'STR Deal Analyzer'!F36)-((C3-75)*'STR Deal Analyzer'!C37*0.5+'STR Deal Analyzer'!C48*'STR Deal Analyzer'!F48*12*0.5/'STR Deal Analyzer'!F36)*'STR Deal Analyzer'!C45-'STR Deal Analyzer'!C48*'STR Deal Analyzer'!F48*12*0.5/'STR Deal Analyzer'!F36)-(((C3-75)*'STR Deal Analyzer'!C37*0.5+'STR Deal Analyzer'!C48*'STR Deal Analyzer'!F48*12*0.5/'STR Deal Analyzer'!F36)-((C3-75)*'STR Deal Analyzer'!C37*0.5+'STR Deal Analyzer'!C48*'STR Deal Analyzer'!F48*12*0.5/'STR Deal Analyzer'!F36)*'STR Deal Analyzer'!C45-'STR Deal Analyzer'!C48*'STR Deal Analyzer'!F48*12*0.5/'STR Deal Analyzer'!F36)*'STR Deal Analyzer'!C56)-'STR Deal Analyzer'!C60-'STR Deal Analyzer'!F60-'STR Deal Analyzer'!C61-'STR Deal Analyzer'!C72-'STR Deal Analyzer'!F61)/C5,0)</f>
        <v/>
      </c>
      <c r="D8" s="41">
        <f>IF(C5&gt;0,(((((C3-75)*'STR Deal Analyzer'!C37*0.55+'STR Deal Analyzer'!C48*'STR Deal Analyzer'!F48*12*0.55/'STR Deal Analyzer'!F36)-((C3-75)*'STR Deal Analyzer'!C37*0.55+'STR Deal Analyzer'!C48*'STR Deal Analyzer'!F48*12*0.55/'STR Deal Analyzer'!F36)*'STR Deal Analyzer'!C45-'STR Deal Analyzer'!C48*'STR Deal Analyzer'!F48*12*0.55/'STR Deal Analyzer'!F36)-(((C3-75)*'STR Deal Analyzer'!C37*0.55+'STR Deal Analyzer'!C48*'STR Deal Analyzer'!F48*12*0.55/'STR Deal Analyzer'!F36)-((C3-75)*'STR Deal Analyzer'!C37*0.55+'STR Deal Analyzer'!C48*'STR Deal Analyzer'!F48*12*0.55/'STR Deal Analyzer'!F36)*'STR Deal Analyzer'!C45-'STR Deal Analyzer'!C48*'STR Deal Analyzer'!F48*12*0.55/'STR Deal Analyzer'!F36)*'STR Deal Analyzer'!C56)-'STR Deal Analyzer'!C60-'STR Deal Analyzer'!F60-'STR Deal Analyzer'!C61-'STR Deal Analyzer'!C72-'STR Deal Analyzer'!F61)/C5,0)</f>
        <v/>
      </c>
      <c r="E8" s="41">
        <f>IF(C5&gt;0,(((((C3-75)*'STR Deal Analyzer'!C37*0.6+'STR Deal Analyzer'!C48*'STR Deal Analyzer'!F48*12*0.6/'STR Deal Analyzer'!F36)-((C3-75)*'STR Deal Analyzer'!C37*0.6+'STR Deal Analyzer'!C48*'STR Deal Analyzer'!F48*12*0.6/'STR Deal Analyzer'!F36)*'STR Deal Analyzer'!C45-'STR Deal Analyzer'!C48*'STR Deal Analyzer'!F48*12*0.6/'STR Deal Analyzer'!F36)-(((C3-75)*'STR Deal Analyzer'!C37*0.6+'STR Deal Analyzer'!C48*'STR Deal Analyzer'!F48*12*0.6/'STR Deal Analyzer'!F36)-((C3-75)*'STR Deal Analyzer'!C37*0.6+'STR Deal Analyzer'!C48*'STR Deal Analyzer'!F48*12*0.6/'STR Deal Analyzer'!F36)*'STR Deal Analyzer'!C45-'STR Deal Analyzer'!C48*'STR Deal Analyzer'!F48*12*0.6/'STR Deal Analyzer'!F36)*'STR Deal Analyzer'!C56)-'STR Deal Analyzer'!C60-'STR Deal Analyzer'!F60-'STR Deal Analyzer'!C61-'STR Deal Analyzer'!C72-'STR Deal Analyzer'!F61)/C5,0)</f>
        <v/>
      </c>
      <c r="F8" s="41">
        <f>IF(C5&gt;0,(((((C3-75)*'STR Deal Analyzer'!C37*0.65+'STR Deal Analyzer'!C48*'STR Deal Analyzer'!F48*12*0.65/'STR Deal Analyzer'!F36)-((C3-75)*'STR Deal Analyzer'!C37*0.65+'STR Deal Analyzer'!C48*'STR Deal Analyzer'!F48*12*0.65/'STR Deal Analyzer'!F36)*'STR Deal Analyzer'!C45-'STR Deal Analyzer'!C48*'STR Deal Analyzer'!F48*12*0.65/'STR Deal Analyzer'!F36)-(((C3-75)*'STR Deal Analyzer'!C37*0.65+'STR Deal Analyzer'!C48*'STR Deal Analyzer'!F48*12*0.65/'STR Deal Analyzer'!F36)-((C3-75)*'STR Deal Analyzer'!C37*0.65+'STR Deal Analyzer'!C48*'STR Deal Analyzer'!F48*12*0.65/'STR Deal Analyzer'!F36)*'STR Deal Analyzer'!C45-'STR Deal Analyzer'!C48*'STR Deal Analyzer'!F48*12*0.65/'STR Deal Analyzer'!F36)*'STR Deal Analyzer'!C56)-'STR Deal Analyzer'!C60-'STR Deal Analyzer'!F60-'STR Deal Analyzer'!C61-'STR Deal Analyzer'!C72-'STR Deal Analyzer'!F61)/C5,0)</f>
        <v/>
      </c>
      <c r="G8" s="41">
        <f>IF(C5&gt;0,(((((C3-75)*'STR Deal Analyzer'!C37*0.7+'STR Deal Analyzer'!C48*'STR Deal Analyzer'!F48*12*0.7/'STR Deal Analyzer'!F36)-((C3-75)*'STR Deal Analyzer'!C37*0.7+'STR Deal Analyzer'!C48*'STR Deal Analyzer'!F48*12*0.7/'STR Deal Analyzer'!F36)*'STR Deal Analyzer'!C45-'STR Deal Analyzer'!C48*'STR Deal Analyzer'!F48*12*0.7/'STR Deal Analyzer'!F36)-(((C3-75)*'STR Deal Analyzer'!C37*0.7+'STR Deal Analyzer'!C48*'STR Deal Analyzer'!F48*12*0.7/'STR Deal Analyzer'!F36)-((C3-75)*'STR Deal Analyzer'!C37*0.7+'STR Deal Analyzer'!C48*'STR Deal Analyzer'!F48*12*0.7/'STR Deal Analyzer'!F36)*'STR Deal Analyzer'!C45-'STR Deal Analyzer'!C48*'STR Deal Analyzer'!F48*12*0.7/'STR Deal Analyzer'!F36)*'STR Deal Analyzer'!C56)-'STR Deal Analyzer'!C60-'STR Deal Analyzer'!F60-'STR Deal Analyzer'!C61-'STR Deal Analyzer'!C72-'STR Deal Analyzer'!F61)/C5,0)</f>
        <v/>
      </c>
      <c r="H8" s="41">
        <f>IF(C5&gt;0,(((((C3-75)*'STR Deal Analyzer'!C37*0.75+'STR Deal Analyzer'!C48*'STR Deal Analyzer'!F48*12*0.75/'STR Deal Analyzer'!F36)-((C3-75)*'STR Deal Analyzer'!C37*0.75+'STR Deal Analyzer'!C48*'STR Deal Analyzer'!F48*12*0.75/'STR Deal Analyzer'!F36)*'STR Deal Analyzer'!C45-'STR Deal Analyzer'!C48*'STR Deal Analyzer'!F48*12*0.75/'STR Deal Analyzer'!F36)-(((C3-75)*'STR Deal Analyzer'!C37*0.75+'STR Deal Analyzer'!C48*'STR Deal Analyzer'!F48*12*0.75/'STR Deal Analyzer'!F36)-((C3-75)*'STR Deal Analyzer'!C37*0.75+'STR Deal Analyzer'!C48*'STR Deal Analyzer'!F48*12*0.75/'STR Deal Analyzer'!F36)*'STR Deal Analyzer'!C45-'STR Deal Analyzer'!C48*'STR Deal Analyzer'!F48*12*0.75/'STR Deal Analyzer'!F36)*'STR Deal Analyzer'!C56)-'STR Deal Analyzer'!C60-'STR Deal Analyzer'!F60-'STR Deal Analyzer'!C61-'STR Deal Analyzer'!C72-'STR Deal Analyzer'!F61)/C5,0)</f>
        <v/>
      </c>
      <c r="I8" s="41">
        <f>IF(C5&gt;0,(((((C3-75)*'STR Deal Analyzer'!C37*0.8+'STR Deal Analyzer'!C48*'STR Deal Analyzer'!F48*12*0.8/'STR Deal Analyzer'!F36)-((C3-75)*'STR Deal Analyzer'!C37*0.8+'STR Deal Analyzer'!C48*'STR Deal Analyzer'!F48*12*0.8/'STR Deal Analyzer'!F36)*'STR Deal Analyzer'!C45-'STR Deal Analyzer'!C48*'STR Deal Analyzer'!F48*12*0.8/'STR Deal Analyzer'!F36)-(((C3-75)*'STR Deal Analyzer'!C37*0.8+'STR Deal Analyzer'!C48*'STR Deal Analyzer'!F48*12*0.8/'STR Deal Analyzer'!F36)-((C3-75)*'STR Deal Analyzer'!C37*0.8+'STR Deal Analyzer'!C48*'STR Deal Analyzer'!F48*12*0.8/'STR Deal Analyzer'!F36)*'STR Deal Analyzer'!C45-'STR Deal Analyzer'!C48*'STR Deal Analyzer'!F48*12*0.8/'STR Deal Analyzer'!F36)*'STR Deal Analyzer'!C56)-'STR Deal Analyzer'!C60-'STR Deal Analyzer'!F60-'STR Deal Analyzer'!C61-'STR Deal Analyzer'!C72-'STR Deal Analyzer'!F61)/C5,0)</f>
        <v/>
      </c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110">
      <c r="A9" s="28" t="n"/>
      <c r="B9" s="103" t="inlineStr">
        <is>
          <t>ADR $-50</t>
        </is>
      </c>
      <c r="C9" s="41">
        <f>IF(C5&gt;0,(((((C3-50)*'STR Deal Analyzer'!C37*0.5+'STR Deal Analyzer'!C48*'STR Deal Analyzer'!F48*12*0.5/'STR Deal Analyzer'!F36)-((C3-50)*'STR Deal Analyzer'!C37*0.5+'STR Deal Analyzer'!C48*'STR Deal Analyzer'!F48*12*0.5/'STR Deal Analyzer'!F36)*'STR Deal Analyzer'!C45-'STR Deal Analyzer'!C48*'STR Deal Analyzer'!F48*12*0.5/'STR Deal Analyzer'!F36)-(((C3-50)*'STR Deal Analyzer'!C37*0.5+'STR Deal Analyzer'!C48*'STR Deal Analyzer'!F48*12*0.5/'STR Deal Analyzer'!F36)-((C3-50)*'STR Deal Analyzer'!C37*0.5+'STR Deal Analyzer'!C48*'STR Deal Analyzer'!F48*12*0.5/'STR Deal Analyzer'!F36)*'STR Deal Analyzer'!C45-'STR Deal Analyzer'!C48*'STR Deal Analyzer'!F48*12*0.5/'STR Deal Analyzer'!F36)*'STR Deal Analyzer'!C56)-'STR Deal Analyzer'!C60-'STR Deal Analyzer'!F60-'STR Deal Analyzer'!C61-'STR Deal Analyzer'!C72-'STR Deal Analyzer'!F61)/C5,0)</f>
        <v/>
      </c>
      <c r="D9" s="41">
        <f>IF(C5&gt;0,(((((C3-50)*'STR Deal Analyzer'!C37*0.55+'STR Deal Analyzer'!C48*'STR Deal Analyzer'!F48*12*0.55/'STR Deal Analyzer'!F36)-((C3-50)*'STR Deal Analyzer'!C37*0.55+'STR Deal Analyzer'!C48*'STR Deal Analyzer'!F48*12*0.55/'STR Deal Analyzer'!F36)*'STR Deal Analyzer'!C45-'STR Deal Analyzer'!C48*'STR Deal Analyzer'!F48*12*0.55/'STR Deal Analyzer'!F36)-(((C3-50)*'STR Deal Analyzer'!C37*0.55+'STR Deal Analyzer'!C48*'STR Deal Analyzer'!F48*12*0.55/'STR Deal Analyzer'!F36)-((C3-50)*'STR Deal Analyzer'!C37*0.55+'STR Deal Analyzer'!C48*'STR Deal Analyzer'!F48*12*0.55/'STR Deal Analyzer'!F36)*'STR Deal Analyzer'!C45-'STR Deal Analyzer'!C48*'STR Deal Analyzer'!F48*12*0.55/'STR Deal Analyzer'!F36)*'STR Deal Analyzer'!C56)-'STR Deal Analyzer'!C60-'STR Deal Analyzer'!F60-'STR Deal Analyzer'!C61-'STR Deal Analyzer'!C72-'STR Deal Analyzer'!F61)/C5,0)</f>
        <v/>
      </c>
      <c r="E9" s="41">
        <f>IF(C5&gt;0,(((((C3-50)*'STR Deal Analyzer'!C37*0.6+'STR Deal Analyzer'!C48*'STR Deal Analyzer'!F48*12*0.6/'STR Deal Analyzer'!F36)-((C3-50)*'STR Deal Analyzer'!C37*0.6+'STR Deal Analyzer'!C48*'STR Deal Analyzer'!F48*12*0.6/'STR Deal Analyzer'!F36)*'STR Deal Analyzer'!C45-'STR Deal Analyzer'!C48*'STR Deal Analyzer'!F48*12*0.6/'STR Deal Analyzer'!F36)-(((C3-50)*'STR Deal Analyzer'!C37*0.6+'STR Deal Analyzer'!C48*'STR Deal Analyzer'!F48*12*0.6/'STR Deal Analyzer'!F36)-((C3-50)*'STR Deal Analyzer'!C37*0.6+'STR Deal Analyzer'!C48*'STR Deal Analyzer'!F48*12*0.6/'STR Deal Analyzer'!F36)*'STR Deal Analyzer'!C45-'STR Deal Analyzer'!C48*'STR Deal Analyzer'!F48*12*0.6/'STR Deal Analyzer'!F36)*'STR Deal Analyzer'!C56)-'STR Deal Analyzer'!C60-'STR Deal Analyzer'!F60-'STR Deal Analyzer'!C61-'STR Deal Analyzer'!C72-'STR Deal Analyzer'!F61)/C5,0)</f>
        <v/>
      </c>
      <c r="F9" s="41">
        <f>IF(C5&gt;0,(((((C3-50)*'STR Deal Analyzer'!C37*0.65+'STR Deal Analyzer'!C48*'STR Deal Analyzer'!F48*12*0.65/'STR Deal Analyzer'!F36)-((C3-50)*'STR Deal Analyzer'!C37*0.65+'STR Deal Analyzer'!C48*'STR Deal Analyzer'!F48*12*0.65/'STR Deal Analyzer'!F36)*'STR Deal Analyzer'!C45-'STR Deal Analyzer'!C48*'STR Deal Analyzer'!F48*12*0.65/'STR Deal Analyzer'!F36)-(((C3-50)*'STR Deal Analyzer'!C37*0.65+'STR Deal Analyzer'!C48*'STR Deal Analyzer'!F48*12*0.65/'STR Deal Analyzer'!F36)-((C3-50)*'STR Deal Analyzer'!C37*0.65+'STR Deal Analyzer'!C48*'STR Deal Analyzer'!F48*12*0.65/'STR Deal Analyzer'!F36)*'STR Deal Analyzer'!C45-'STR Deal Analyzer'!C48*'STR Deal Analyzer'!F48*12*0.65/'STR Deal Analyzer'!F36)*'STR Deal Analyzer'!C56)-'STR Deal Analyzer'!C60-'STR Deal Analyzer'!F60-'STR Deal Analyzer'!C61-'STR Deal Analyzer'!C72-'STR Deal Analyzer'!F61)/C5,0)</f>
        <v/>
      </c>
      <c r="G9" s="41">
        <f>IF(C5&gt;0,(((((C3-50)*'STR Deal Analyzer'!C37*0.7+'STR Deal Analyzer'!C48*'STR Deal Analyzer'!F48*12*0.7/'STR Deal Analyzer'!F36)-((C3-50)*'STR Deal Analyzer'!C37*0.7+'STR Deal Analyzer'!C48*'STR Deal Analyzer'!F48*12*0.7/'STR Deal Analyzer'!F36)*'STR Deal Analyzer'!C45-'STR Deal Analyzer'!C48*'STR Deal Analyzer'!F48*12*0.7/'STR Deal Analyzer'!F36)-(((C3-50)*'STR Deal Analyzer'!C37*0.7+'STR Deal Analyzer'!C48*'STR Deal Analyzer'!F48*12*0.7/'STR Deal Analyzer'!F36)-((C3-50)*'STR Deal Analyzer'!C37*0.7+'STR Deal Analyzer'!C48*'STR Deal Analyzer'!F48*12*0.7/'STR Deal Analyzer'!F36)*'STR Deal Analyzer'!C45-'STR Deal Analyzer'!C48*'STR Deal Analyzer'!F48*12*0.7/'STR Deal Analyzer'!F36)*'STR Deal Analyzer'!C56)-'STR Deal Analyzer'!C60-'STR Deal Analyzer'!F60-'STR Deal Analyzer'!C61-'STR Deal Analyzer'!C72-'STR Deal Analyzer'!F61)/C5,0)</f>
        <v/>
      </c>
      <c r="H9" s="41">
        <f>IF(C5&gt;0,(((((C3-50)*'STR Deal Analyzer'!C37*0.75+'STR Deal Analyzer'!C48*'STR Deal Analyzer'!F48*12*0.75/'STR Deal Analyzer'!F36)-((C3-50)*'STR Deal Analyzer'!C37*0.75+'STR Deal Analyzer'!C48*'STR Deal Analyzer'!F48*12*0.75/'STR Deal Analyzer'!F36)*'STR Deal Analyzer'!C45-'STR Deal Analyzer'!C48*'STR Deal Analyzer'!F48*12*0.75/'STR Deal Analyzer'!F36)-(((C3-50)*'STR Deal Analyzer'!C37*0.75+'STR Deal Analyzer'!C48*'STR Deal Analyzer'!F48*12*0.75/'STR Deal Analyzer'!F36)-((C3-50)*'STR Deal Analyzer'!C37*0.75+'STR Deal Analyzer'!C48*'STR Deal Analyzer'!F48*12*0.75/'STR Deal Analyzer'!F36)*'STR Deal Analyzer'!C45-'STR Deal Analyzer'!C48*'STR Deal Analyzer'!F48*12*0.75/'STR Deal Analyzer'!F36)*'STR Deal Analyzer'!C56)-'STR Deal Analyzer'!C60-'STR Deal Analyzer'!F60-'STR Deal Analyzer'!C61-'STR Deal Analyzer'!C72-'STR Deal Analyzer'!F61)/C5,0)</f>
        <v/>
      </c>
      <c r="I9" s="41">
        <f>IF(C5&gt;0,(((((C3-50)*'STR Deal Analyzer'!C37*0.8+'STR Deal Analyzer'!C48*'STR Deal Analyzer'!F48*12*0.8/'STR Deal Analyzer'!F36)-((C3-50)*'STR Deal Analyzer'!C37*0.8+'STR Deal Analyzer'!C48*'STR Deal Analyzer'!F48*12*0.8/'STR Deal Analyzer'!F36)*'STR Deal Analyzer'!C45-'STR Deal Analyzer'!C48*'STR Deal Analyzer'!F48*12*0.8/'STR Deal Analyzer'!F36)-(((C3-50)*'STR Deal Analyzer'!C37*0.8+'STR Deal Analyzer'!C48*'STR Deal Analyzer'!F48*12*0.8/'STR Deal Analyzer'!F36)-((C3-50)*'STR Deal Analyzer'!C37*0.8+'STR Deal Analyzer'!C48*'STR Deal Analyzer'!F48*12*0.8/'STR Deal Analyzer'!F36)*'STR Deal Analyzer'!C45-'STR Deal Analyzer'!C48*'STR Deal Analyzer'!F48*12*0.8/'STR Deal Analyzer'!F36)*'STR Deal Analyzer'!C56)-'STR Deal Analyzer'!C60-'STR Deal Analyzer'!F60-'STR Deal Analyzer'!C61-'STR Deal Analyzer'!C72-'STR Deal Analyzer'!F61)/C5,0)</f>
        <v/>
      </c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110">
      <c r="A10" s="28" t="n"/>
      <c r="B10" s="103" t="inlineStr">
        <is>
          <t>ADR $-25</t>
        </is>
      </c>
      <c r="C10" s="41">
        <f>IF(C5&gt;0,(((((C3-25)*'STR Deal Analyzer'!C37*0.5+'STR Deal Analyzer'!C48*'STR Deal Analyzer'!F48*12*0.5/'STR Deal Analyzer'!F36)-((C3-25)*'STR Deal Analyzer'!C37*0.5+'STR Deal Analyzer'!C48*'STR Deal Analyzer'!F48*12*0.5/'STR Deal Analyzer'!F36)*'STR Deal Analyzer'!C45-'STR Deal Analyzer'!C48*'STR Deal Analyzer'!F48*12*0.5/'STR Deal Analyzer'!F36)-(((C3-25)*'STR Deal Analyzer'!C37*0.5+'STR Deal Analyzer'!C48*'STR Deal Analyzer'!F48*12*0.5/'STR Deal Analyzer'!F36)-((C3-25)*'STR Deal Analyzer'!C37*0.5+'STR Deal Analyzer'!C48*'STR Deal Analyzer'!F48*12*0.5/'STR Deal Analyzer'!F36)*'STR Deal Analyzer'!C45-'STR Deal Analyzer'!C48*'STR Deal Analyzer'!F48*12*0.5/'STR Deal Analyzer'!F36)*'STR Deal Analyzer'!C56)-'STR Deal Analyzer'!C60-'STR Deal Analyzer'!F60-'STR Deal Analyzer'!C61-'STR Deal Analyzer'!C72-'STR Deal Analyzer'!F61)/C5,0)</f>
        <v/>
      </c>
      <c r="D10" s="41">
        <f>IF(C5&gt;0,(((((C3-25)*'STR Deal Analyzer'!C37*0.55+'STR Deal Analyzer'!C48*'STR Deal Analyzer'!F48*12*0.55/'STR Deal Analyzer'!F36)-((C3-25)*'STR Deal Analyzer'!C37*0.55+'STR Deal Analyzer'!C48*'STR Deal Analyzer'!F48*12*0.55/'STR Deal Analyzer'!F36)*'STR Deal Analyzer'!C45-'STR Deal Analyzer'!C48*'STR Deal Analyzer'!F48*12*0.55/'STR Deal Analyzer'!F36)-(((C3-25)*'STR Deal Analyzer'!C37*0.55+'STR Deal Analyzer'!C48*'STR Deal Analyzer'!F48*12*0.55/'STR Deal Analyzer'!F36)-((C3-25)*'STR Deal Analyzer'!C37*0.55+'STR Deal Analyzer'!C48*'STR Deal Analyzer'!F48*12*0.55/'STR Deal Analyzer'!F36)*'STR Deal Analyzer'!C45-'STR Deal Analyzer'!C48*'STR Deal Analyzer'!F48*12*0.55/'STR Deal Analyzer'!F36)*'STR Deal Analyzer'!C56)-'STR Deal Analyzer'!C60-'STR Deal Analyzer'!F60-'STR Deal Analyzer'!C61-'STR Deal Analyzer'!C72-'STR Deal Analyzer'!F61)/C5,0)</f>
        <v/>
      </c>
      <c r="E10" s="41">
        <f>IF(C5&gt;0,(((((C3-25)*'STR Deal Analyzer'!C37*0.6+'STR Deal Analyzer'!C48*'STR Deal Analyzer'!F48*12*0.6/'STR Deal Analyzer'!F36)-((C3-25)*'STR Deal Analyzer'!C37*0.6+'STR Deal Analyzer'!C48*'STR Deal Analyzer'!F48*12*0.6/'STR Deal Analyzer'!F36)*'STR Deal Analyzer'!C45-'STR Deal Analyzer'!C48*'STR Deal Analyzer'!F48*12*0.6/'STR Deal Analyzer'!F36)-(((C3-25)*'STR Deal Analyzer'!C37*0.6+'STR Deal Analyzer'!C48*'STR Deal Analyzer'!F48*12*0.6/'STR Deal Analyzer'!F36)-((C3-25)*'STR Deal Analyzer'!C37*0.6+'STR Deal Analyzer'!C48*'STR Deal Analyzer'!F48*12*0.6/'STR Deal Analyzer'!F36)*'STR Deal Analyzer'!C45-'STR Deal Analyzer'!C48*'STR Deal Analyzer'!F48*12*0.6/'STR Deal Analyzer'!F36)*'STR Deal Analyzer'!C56)-'STR Deal Analyzer'!C60-'STR Deal Analyzer'!F60-'STR Deal Analyzer'!C61-'STR Deal Analyzer'!C72-'STR Deal Analyzer'!F61)/C5,0)</f>
        <v/>
      </c>
      <c r="F10" s="41">
        <f>IF(C5&gt;0,(((((C3-25)*'STR Deal Analyzer'!C37*0.65+'STR Deal Analyzer'!C48*'STR Deal Analyzer'!F48*12*0.65/'STR Deal Analyzer'!F36)-((C3-25)*'STR Deal Analyzer'!C37*0.65+'STR Deal Analyzer'!C48*'STR Deal Analyzer'!F48*12*0.65/'STR Deal Analyzer'!F36)*'STR Deal Analyzer'!C45-'STR Deal Analyzer'!C48*'STR Deal Analyzer'!F48*12*0.65/'STR Deal Analyzer'!F36)-(((C3-25)*'STR Deal Analyzer'!C37*0.65+'STR Deal Analyzer'!C48*'STR Deal Analyzer'!F48*12*0.65/'STR Deal Analyzer'!F36)-((C3-25)*'STR Deal Analyzer'!C37*0.65+'STR Deal Analyzer'!C48*'STR Deal Analyzer'!F48*12*0.65/'STR Deal Analyzer'!F36)*'STR Deal Analyzer'!C45-'STR Deal Analyzer'!C48*'STR Deal Analyzer'!F48*12*0.65/'STR Deal Analyzer'!F36)*'STR Deal Analyzer'!C56)-'STR Deal Analyzer'!C60-'STR Deal Analyzer'!F60-'STR Deal Analyzer'!C61-'STR Deal Analyzer'!C72-'STR Deal Analyzer'!F61)/C5,0)</f>
        <v/>
      </c>
      <c r="G10" s="41">
        <f>IF(C5&gt;0,(((((C3-25)*'STR Deal Analyzer'!C37*0.7+'STR Deal Analyzer'!C48*'STR Deal Analyzer'!F48*12*0.7/'STR Deal Analyzer'!F36)-((C3-25)*'STR Deal Analyzer'!C37*0.7+'STR Deal Analyzer'!C48*'STR Deal Analyzer'!F48*12*0.7/'STR Deal Analyzer'!F36)*'STR Deal Analyzer'!C45-'STR Deal Analyzer'!C48*'STR Deal Analyzer'!F48*12*0.7/'STR Deal Analyzer'!F36)-(((C3-25)*'STR Deal Analyzer'!C37*0.7+'STR Deal Analyzer'!C48*'STR Deal Analyzer'!F48*12*0.7/'STR Deal Analyzer'!F36)-((C3-25)*'STR Deal Analyzer'!C37*0.7+'STR Deal Analyzer'!C48*'STR Deal Analyzer'!F48*12*0.7/'STR Deal Analyzer'!F36)*'STR Deal Analyzer'!C45-'STR Deal Analyzer'!C48*'STR Deal Analyzer'!F48*12*0.7/'STR Deal Analyzer'!F36)*'STR Deal Analyzer'!C56)-'STR Deal Analyzer'!C60-'STR Deal Analyzer'!F60-'STR Deal Analyzer'!C61-'STR Deal Analyzer'!C72-'STR Deal Analyzer'!F61)/C5,0)</f>
        <v/>
      </c>
      <c r="H10" s="41">
        <f>IF(C5&gt;0,(((((C3-25)*'STR Deal Analyzer'!C37*0.75+'STR Deal Analyzer'!C48*'STR Deal Analyzer'!F48*12*0.75/'STR Deal Analyzer'!F36)-((C3-25)*'STR Deal Analyzer'!C37*0.75+'STR Deal Analyzer'!C48*'STR Deal Analyzer'!F48*12*0.75/'STR Deal Analyzer'!F36)*'STR Deal Analyzer'!C45-'STR Deal Analyzer'!C48*'STR Deal Analyzer'!F48*12*0.75/'STR Deal Analyzer'!F36)-(((C3-25)*'STR Deal Analyzer'!C37*0.75+'STR Deal Analyzer'!C48*'STR Deal Analyzer'!F48*12*0.75/'STR Deal Analyzer'!F36)-((C3-25)*'STR Deal Analyzer'!C37*0.75+'STR Deal Analyzer'!C48*'STR Deal Analyzer'!F48*12*0.75/'STR Deal Analyzer'!F36)*'STR Deal Analyzer'!C45-'STR Deal Analyzer'!C48*'STR Deal Analyzer'!F48*12*0.75/'STR Deal Analyzer'!F36)*'STR Deal Analyzer'!C56)-'STR Deal Analyzer'!C60-'STR Deal Analyzer'!F60-'STR Deal Analyzer'!C61-'STR Deal Analyzer'!C72-'STR Deal Analyzer'!F61)/C5,0)</f>
        <v/>
      </c>
      <c r="I10" s="41">
        <f>IF(C5&gt;0,(((((C3-25)*'STR Deal Analyzer'!C37*0.8+'STR Deal Analyzer'!C48*'STR Deal Analyzer'!F48*12*0.8/'STR Deal Analyzer'!F36)-((C3-25)*'STR Deal Analyzer'!C37*0.8+'STR Deal Analyzer'!C48*'STR Deal Analyzer'!F48*12*0.8/'STR Deal Analyzer'!F36)*'STR Deal Analyzer'!C45-'STR Deal Analyzer'!C48*'STR Deal Analyzer'!F48*12*0.8/'STR Deal Analyzer'!F36)-(((C3-25)*'STR Deal Analyzer'!C37*0.8+'STR Deal Analyzer'!C48*'STR Deal Analyzer'!F48*12*0.8/'STR Deal Analyzer'!F36)-((C3-25)*'STR Deal Analyzer'!C37*0.8+'STR Deal Analyzer'!C48*'STR Deal Analyzer'!F48*12*0.8/'STR Deal Analyzer'!F36)*'STR Deal Analyzer'!C45-'STR Deal Analyzer'!C48*'STR Deal Analyzer'!F48*12*0.8/'STR Deal Analyzer'!F36)*'STR Deal Analyzer'!C56)-'STR Deal Analyzer'!C60-'STR Deal Analyzer'!F60-'STR Deal Analyzer'!C61-'STR Deal Analyzer'!C72-'STR Deal Analyzer'!F61)/C5,0)</f>
        <v/>
      </c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110">
      <c r="A11" s="28" t="n"/>
      <c r="B11" s="108" t="inlineStr">
        <is>
          <t>Base ADR</t>
        </is>
      </c>
      <c r="C11" s="41">
        <f>IF(C5&gt;0,(((((C3+0)*'STR Deal Analyzer'!C37*0.5+'STR Deal Analyzer'!C48*'STR Deal Analyzer'!F48*12*0.5/'STR Deal Analyzer'!F36)-((C3+0)*'STR Deal Analyzer'!C37*0.5+'STR Deal Analyzer'!C48*'STR Deal Analyzer'!F48*12*0.5/'STR Deal Analyzer'!F36)*'STR Deal Analyzer'!C45-'STR Deal Analyzer'!C48*'STR Deal Analyzer'!F48*12*0.5/'STR Deal Analyzer'!F36)-(((C3+0)*'STR Deal Analyzer'!C37*0.5+'STR Deal Analyzer'!C48*'STR Deal Analyzer'!F48*12*0.5/'STR Deal Analyzer'!F36)-((C3+0)*'STR Deal Analyzer'!C37*0.5+'STR Deal Analyzer'!C48*'STR Deal Analyzer'!F48*12*0.5/'STR Deal Analyzer'!F36)*'STR Deal Analyzer'!C45-'STR Deal Analyzer'!C48*'STR Deal Analyzer'!F48*12*0.5/'STR Deal Analyzer'!F36)*'STR Deal Analyzer'!C56)-'STR Deal Analyzer'!C60-'STR Deal Analyzer'!F60-'STR Deal Analyzer'!C61-'STR Deal Analyzer'!C72-'STR Deal Analyzer'!F61)/C5,0)</f>
        <v/>
      </c>
      <c r="D11" s="41">
        <f>IF(C5&gt;0,(((((C3+0)*'STR Deal Analyzer'!C37*0.55+'STR Deal Analyzer'!C48*'STR Deal Analyzer'!F48*12*0.55/'STR Deal Analyzer'!F36)-((C3+0)*'STR Deal Analyzer'!C37*0.55+'STR Deal Analyzer'!C48*'STR Deal Analyzer'!F48*12*0.55/'STR Deal Analyzer'!F36)*'STR Deal Analyzer'!C45-'STR Deal Analyzer'!C48*'STR Deal Analyzer'!F48*12*0.55/'STR Deal Analyzer'!F36)-(((C3+0)*'STR Deal Analyzer'!C37*0.55+'STR Deal Analyzer'!C48*'STR Deal Analyzer'!F48*12*0.55/'STR Deal Analyzer'!F36)-((C3+0)*'STR Deal Analyzer'!C37*0.55+'STR Deal Analyzer'!C48*'STR Deal Analyzer'!F48*12*0.55/'STR Deal Analyzer'!F36)*'STR Deal Analyzer'!C45-'STR Deal Analyzer'!C48*'STR Deal Analyzer'!F48*12*0.55/'STR Deal Analyzer'!F36)*'STR Deal Analyzer'!C56)-'STR Deal Analyzer'!C60-'STR Deal Analyzer'!F60-'STR Deal Analyzer'!C61-'STR Deal Analyzer'!C72-'STR Deal Analyzer'!F61)/C5,0)</f>
        <v/>
      </c>
      <c r="E11" s="41">
        <f>IF(C5&gt;0,(((((C3+0)*'STR Deal Analyzer'!C37*0.6+'STR Deal Analyzer'!C48*'STR Deal Analyzer'!F48*12*0.6/'STR Deal Analyzer'!F36)-((C3+0)*'STR Deal Analyzer'!C37*0.6+'STR Deal Analyzer'!C48*'STR Deal Analyzer'!F48*12*0.6/'STR Deal Analyzer'!F36)*'STR Deal Analyzer'!C45-'STR Deal Analyzer'!C48*'STR Deal Analyzer'!F48*12*0.6/'STR Deal Analyzer'!F36)-(((C3+0)*'STR Deal Analyzer'!C37*0.6+'STR Deal Analyzer'!C48*'STR Deal Analyzer'!F48*12*0.6/'STR Deal Analyzer'!F36)-((C3+0)*'STR Deal Analyzer'!C37*0.6+'STR Deal Analyzer'!C48*'STR Deal Analyzer'!F48*12*0.6/'STR Deal Analyzer'!F36)*'STR Deal Analyzer'!C45-'STR Deal Analyzer'!C48*'STR Deal Analyzer'!F48*12*0.6/'STR Deal Analyzer'!F36)*'STR Deal Analyzer'!C56)-'STR Deal Analyzer'!C60-'STR Deal Analyzer'!F60-'STR Deal Analyzer'!C61-'STR Deal Analyzer'!C72-'STR Deal Analyzer'!F61)/C5,0)</f>
        <v/>
      </c>
      <c r="F11" s="109">
        <f>IF(C5&gt;0,(((((C3+0)*'STR Deal Analyzer'!C37*0.65+'STR Deal Analyzer'!C48*'STR Deal Analyzer'!F48*12*0.65/'STR Deal Analyzer'!F36)-((C3+0)*'STR Deal Analyzer'!C37*0.65+'STR Deal Analyzer'!C48*'STR Deal Analyzer'!F48*12*0.65/'STR Deal Analyzer'!F36)*'STR Deal Analyzer'!C45-'STR Deal Analyzer'!C48*'STR Deal Analyzer'!F48*12*0.65/'STR Deal Analyzer'!F36)-(((C3+0)*'STR Deal Analyzer'!C37*0.65+'STR Deal Analyzer'!C48*'STR Deal Analyzer'!F48*12*0.65/'STR Deal Analyzer'!F36)-((C3+0)*'STR Deal Analyzer'!C37*0.65+'STR Deal Analyzer'!C48*'STR Deal Analyzer'!F48*12*0.65/'STR Deal Analyzer'!F36)*'STR Deal Analyzer'!C45-'STR Deal Analyzer'!C48*'STR Deal Analyzer'!F48*12*0.65/'STR Deal Analyzer'!F36)*'STR Deal Analyzer'!C56)-'STR Deal Analyzer'!C60-'STR Deal Analyzer'!F60-'STR Deal Analyzer'!C61-'STR Deal Analyzer'!C72-'STR Deal Analyzer'!F61)/C5,0)</f>
        <v/>
      </c>
      <c r="G11" s="41">
        <f>IF(C5&gt;0,(((((C3+0)*'STR Deal Analyzer'!C37*0.7+'STR Deal Analyzer'!C48*'STR Deal Analyzer'!F48*12*0.7/'STR Deal Analyzer'!F36)-((C3+0)*'STR Deal Analyzer'!C37*0.7+'STR Deal Analyzer'!C48*'STR Deal Analyzer'!F48*12*0.7/'STR Deal Analyzer'!F36)*'STR Deal Analyzer'!C45-'STR Deal Analyzer'!C48*'STR Deal Analyzer'!F48*12*0.7/'STR Deal Analyzer'!F36)-(((C3+0)*'STR Deal Analyzer'!C37*0.7+'STR Deal Analyzer'!C48*'STR Deal Analyzer'!F48*12*0.7/'STR Deal Analyzer'!F36)-((C3+0)*'STR Deal Analyzer'!C37*0.7+'STR Deal Analyzer'!C48*'STR Deal Analyzer'!F48*12*0.7/'STR Deal Analyzer'!F36)*'STR Deal Analyzer'!C45-'STR Deal Analyzer'!C48*'STR Deal Analyzer'!F48*12*0.7/'STR Deal Analyzer'!F36)*'STR Deal Analyzer'!C56)-'STR Deal Analyzer'!C60-'STR Deal Analyzer'!F60-'STR Deal Analyzer'!C61-'STR Deal Analyzer'!C72-'STR Deal Analyzer'!F61)/C5,0)</f>
        <v/>
      </c>
      <c r="H11" s="41">
        <f>IF(C5&gt;0,(((((C3+0)*'STR Deal Analyzer'!C37*0.75+'STR Deal Analyzer'!C48*'STR Deal Analyzer'!F48*12*0.75/'STR Deal Analyzer'!F36)-((C3+0)*'STR Deal Analyzer'!C37*0.75+'STR Deal Analyzer'!C48*'STR Deal Analyzer'!F48*12*0.75/'STR Deal Analyzer'!F36)*'STR Deal Analyzer'!C45-'STR Deal Analyzer'!C48*'STR Deal Analyzer'!F48*12*0.75/'STR Deal Analyzer'!F36)-(((C3+0)*'STR Deal Analyzer'!C37*0.75+'STR Deal Analyzer'!C48*'STR Deal Analyzer'!F48*12*0.75/'STR Deal Analyzer'!F36)-((C3+0)*'STR Deal Analyzer'!C37*0.75+'STR Deal Analyzer'!C48*'STR Deal Analyzer'!F48*12*0.75/'STR Deal Analyzer'!F36)*'STR Deal Analyzer'!C45-'STR Deal Analyzer'!C48*'STR Deal Analyzer'!F48*12*0.75/'STR Deal Analyzer'!F36)*'STR Deal Analyzer'!C56)-'STR Deal Analyzer'!C60-'STR Deal Analyzer'!F60-'STR Deal Analyzer'!C61-'STR Deal Analyzer'!C72-'STR Deal Analyzer'!F61)/C5,0)</f>
        <v/>
      </c>
      <c r="I11" s="41">
        <f>IF(C5&gt;0,(((((C3+0)*'STR Deal Analyzer'!C37*0.8+'STR Deal Analyzer'!C48*'STR Deal Analyzer'!F48*12*0.8/'STR Deal Analyzer'!F36)-((C3+0)*'STR Deal Analyzer'!C37*0.8+'STR Deal Analyzer'!C48*'STR Deal Analyzer'!F48*12*0.8/'STR Deal Analyzer'!F36)*'STR Deal Analyzer'!C45-'STR Deal Analyzer'!C48*'STR Deal Analyzer'!F48*12*0.8/'STR Deal Analyzer'!F36)-(((C3+0)*'STR Deal Analyzer'!C37*0.8+'STR Deal Analyzer'!C48*'STR Deal Analyzer'!F48*12*0.8/'STR Deal Analyzer'!F36)-((C3+0)*'STR Deal Analyzer'!C37*0.8+'STR Deal Analyzer'!C48*'STR Deal Analyzer'!F48*12*0.8/'STR Deal Analyzer'!F36)*'STR Deal Analyzer'!C45-'STR Deal Analyzer'!C48*'STR Deal Analyzer'!F48*12*0.8/'STR Deal Analyzer'!F36)*'STR Deal Analyzer'!C56)-'STR Deal Analyzer'!C60-'STR Deal Analyzer'!F60-'STR Deal Analyzer'!C61-'STR Deal Analyzer'!C72-'STR Deal Analyzer'!F61)/C5,0)</f>
        <v/>
      </c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5" customHeight="1" s="110">
      <c r="A12" s="28" t="n"/>
      <c r="B12" s="103" t="inlineStr">
        <is>
          <t>ADR +$25</t>
        </is>
      </c>
      <c r="C12" s="41">
        <f>IF(C5&gt;0,(((((C3+25)*'STR Deal Analyzer'!C37*0.5+'STR Deal Analyzer'!C48*'STR Deal Analyzer'!F48*12*0.5/'STR Deal Analyzer'!F36)-((C3+25)*'STR Deal Analyzer'!C37*0.5+'STR Deal Analyzer'!C48*'STR Deal Analyzer'!F48*12*0.5/'STR Deal Analyzer'!F36)*'STR Deal Analyzer'!C45-'STR Deal Analyzer'!C48*'STR Deal Analyzer'!F48*12*0.5/'STR Deal Analyzer'!F36)-(((C3+25)*'STR Deal Analyzer'!C37*0.5+'STR Deal Analyzer'!C48*'STR Deal Analyzer'!F48*12*0.5/'STR Deal Analyzer'!F36)-((C3+25)*'STR Deal Analyzer'!C37*0.5+'STR Deal Analyzer'!C48*'STR Deal Analyzer'!F48*12*0.5/'STR Deal Analyzer'!F36)*'STR Deal Analyzer'!C45-'STR Deal Analyzer'!C48*'STR Deal Analyzer'!F48*12*0.5/'STR Deal Analyzer'!F36)*'STR Deal Analyzer'!C56)-'STR Deal Analyzer'!C60-'STR Deal Analyzer'!F60-'STR Deal Analyzer'!C61-'STR Deal Analyzer'!C72-'STR Deal Analyzer'!F61)/C5,0)</f>
        <v/>
      </c>
      <c r="D12" s="41">
        <f>IF(C5&gt;0,(((((C3+25)*'STR Deal Analyzer'!C37*0.55+'STR Deal Analyzer'!C48*'STR Deal Analyzer'!F48*12*0.55/'STR Deal Analyzer'!F36)-((C3+25)*'STR Deal Analyzer'!C37*0.55+'STR Deal Analyzer'!C48*'STR Deal Analyzer'!F48*12*0.55/'STR Deal Analyzer'!F36)*'STR Deal Analyzer'!C45-'STR Deal Analyzer'!C48*'STR Deal Analyzer'!F48*12*0.55/'STR Deal Analyzer'!F36)-(((C3+25)*'STR Deal Analyzer'!C37*0.55+'STR Deal Analyzer'!C48*'STR Deal Analyzer'!F48*12*0.55/'STR Deal Analyzer'!F36)-((C3+25)*'STR Deal Analyzer'!C37*0.55+'STR Deal Analyzer'!C48*'STR Deal Analyzer'!F48*12*0.55/'STR Deal Analyzer'!F36)*'STR Deal Analyzer'!C45-'STR Deal Analyzer'!C48*'STR Deal Analyzer'!F48*12*0.55/'STR Deal Analyzer'!F36)*'STR Deal Analyzer'!C56)-'STR Deal Analyzer'!C60-'STR Deal Analyzer'!F60-'STR Deal Analyzer'!C61-'STR Deal Analyzer'!C72-'STR Deal Analyzer'!F61)/C5,0)</f>
        <v/>
      </c>
      <c r="E12" s="41">
        <f>IF(C5&gt;0,(((((C3+25)*'STR Deal Analyzer'!C37*0.6+'STR Deal Analyzer'!C48*'STR Deal Analyzer'!F48*12*0.6/'STR Deal Analyzer'!F36)-((C3+25)*'STR Deal Analyzer'!C37*0.6+'STR Deal Analyzer'!C48*'STR Deal Analyzer'!F48*12*0.6/'STR Deal Analyzer'!F36)*'STR Deal Analyzer'!C45-'STR Deal Analyzer'!C48*'STR Deal Analyzer'!F48*12*0.6/'STR Deal Analyzer'!F36)-(((C3+25)*'STR Deal Analyzer'!C37*0.6+'STR Deal Analyzer'!C48*'STR Deal Analyzer'!F48*12*0.6/'STR Deal Analyzer'!F36)-((C3+25)*'STR Deal Analyzer'!C37*0.6+'STR Deal Analyzer'!C48*'STR Deal Analyzer'!F48*12*0.6/'STR Deal Analyzer'!F36)*'STR Deal Analyzer'!C45-'STR Deal Analyzer'!C48*'STR Deal Analyzer'!F48*12*0.6/'STR Deal Analyzer'!F36)*'STR Deal Analyzer'!C56)-'STR Deal Analyzer'!C60-'STR Deal Analyzer'!F60-'STR Deal Analyzer'!C61-'STR Deal Analyzer'!C72-'STR Deal Analyzer'!F61)/C5,0)</f>
        <v/>
      </c>
      <c r="F12" s="41">
        <f>IF(C5&gt;0,(((((C3+25)*'STR Deal Analyzer'!C37*0.65+'STR Deal Analyzer'!C48*'STR Deal Analyzer'!F48*12*0.65/'STR Deal Analyzer'!F36)-((C3+25)*'STR Deal Analyzer'!C37*0.65+'STR Deal Analyzer'!C48*'STR Deal Analyzer'!F48*12*0.65/'STR Deal Analyzer'!F36)*'STR Deal Analyzer'!C45-'STR Deal Analyzer'!C48*'STR Deal Analyzer'!F48*12*0.65/'STR Deal Analyzer'!F36)-(((C3+25)*'STR Deal Analyzer'!C37*0.65+'STR Deal Analyzer'!C48*'STR Deal Analyzer'!F48*12*0.65/'STR Deal Analyzer'!F36)-((C3+25)*'STR Deal Analyzer'!C37*0.65+'STR Deal Analyzer'!C48*'STR Deal Analyzer'!F48*12*0.65/'STR Deal Analyzer'!F36)*'STR Deal Analyzer'!C45-'STR Deal Analyzer'!C48*'STR Deal Analyzer'!F48*12*0.65/'STR Deal Analyzer'!F36)*'STR Deal Analyzer'!C56)-'STR Deal Analyzer'!C60-'STR Deal Analyzer'!F60-'STR Deal Analyzer'!C61-'STR Deal Analyzer'!C72-'STR Deal Analyzer'!F61)/C5,0)</f>
        <v/>
      </c>
      <c r="G12" s="41">
        <f>IF(C5&gt;0,(((((C3+25)*'STR Deal Analyzer'!C37*0.7+'STR Deal Analyzer'!C48*'STR Deal Analyzer'!F48*12*0.7/'STR Deal Analyzer'!F36)-((C3+25)*'STR Deal Analyzer'!C37*0.7+'STR Deal Analyzer'!C48*'STR Deal Analyzer'!F48*12*0.7/'STR Deal Analyzer'!F36)*'STR Deal Analyzer'!C45-'STR Deal Analyzer'!C48*'STR Deal Analyzer'!F48*12*0.7/'STR Deal Analyzer'!F36)-(((C3+25)*'STR Deal Analyzer'!C37*0.7+'STR Deal Analyzer'!C48*'STR Deal Analyzer'!F48*12*0.7/'STR Deal Analyzer'!F36)-((C3+25)*'STR Deal Analyzer'!C37*0.7+'STR Deal Analyzer'!C48*'STR Deal Analyzer'!F48*12*0.7/'STR Deal Analyzer'!F36)*'STR Deal Analyzer'!C45-'STR Deal Analyzer'!C48*'STR Deal Analyzer'!F48*12*0.7/'STR Deal Analyzer'!F36)*'STR Deal Analyzer'!C56)-'STR Deal Analyzer'!C60-'STR Deal Analyzer'!F60-'STR Deal Analyzer'!C61-'STR Deal Analyzer'!C72-'STR Deal Analyzer'!F61)/C5,0)</f>
        <v/>
      </c>
      <c r="H12" s="41">
        <f>IF(C5&gt;0,(((((C3+25)*'STR Deal Analyzer'!C37*0.75+'STR Deal Analyzer'!C48*'STR Deal Analyzer'!F48*12*0.75/'STR Deal Analyzer'!F36)-((C3+25)*'STR Deal Analyzer'!C37*0.75+'STR Deal Analyzer'!C48*'STR Deal Analyzer'!F48*12*0.75/'STR Deal Analyzer'!F36)*'STR Deal Analyzer'!C45-'STR Deal Analyzer'!C48*'STR Deal Analyzer'!F48*12*0.75/'STR Deal Analyzer'!F36)-(((C3+25)*'STR Deal Analyzer'!C37*0.75+'STR Deal Analyzer'!C48*'STR Deal Analyzer'!F48*12*0.75/'STR Deal Analyzer'!F36)-((C3+25)*'STR Deal Analyzer'!C37*0.75+'STR Deal Analyzer'!C48*'STR Deal Analyzer'!F48*12*0.75/'STR Deal Analyzer'!F36)*'STR Deal Analyzer'!C45-'STR Deal Analyzer'!C48*'STR Deal Analyzer'!F48*12*0.75/'STR Deal Analyzer'!F36)*'STR Deal Analyzer'!C56)-'STR Deal Analyzer'!C60-'STR Deal Analyzer'!F60-'STR Deal Analyzer'!C61-'STR Deal Analyzer'!C72-'STR Deal Analyzer'!F61)/C5,0)</f>
        <v/>
      </c>
      <c r="I12" s="41">
        <f>IF(C5&gt;0,(((((C3+25)*'STR Deal Analyzer'!C37*0.8+'STR Deal Analyzer'!C48*'STR Deal Analyzer'!F48*12*0.8/'STR Deal Analyzer'!F36)-((C3+25)*'STR Deal Analyzer'!C37*0.8+'STR Deal Analyzer'!C48*'STR Deal Analyzer'!F48*12*0.8/'STR Deal Analyzer'!F36)*'STR Deal Analyzer'!C45-'STR Deal Analyzer'!C48*'STR Deal Analyzer'!F48*12*0.8/'STR Deal Analyzer'!F36)-(((C3+25)*'STR Deal Analyzer'!C37*0.8+'STR Deal Analyzer'!C48*'STR Deal Analyzer'!F48*12*0.8/'STR Deal Analyzer'!F36)-((C3+25)*'STR Deal Analyzer'!C37*0.8+'STR Deal Analyzer'!C48*'STR Deal Analyzer'!F48*12*0.8/'STR Deal Analyzer'!F36)*'STR Deal Analyzer'!C45-'STR Deal Analyzer'!C48*'STR Deal Analyzer'!F48*12*0.8/'STR Deal Analyzer'!F36)*'STR Deal Analyzer'!C56)-'STR Deal Analyzer'!C60-'STR Deal Analyzer'!F60-'STR Deal Analyzer'!C61-'STR Deal Analyzer'!C72-'STR Deal Analyzer'!F61)/C5,0)</f>
        <v/>
      </c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110">
      <c r="A13" s="28" t="n"/>
      <c r="B13" s="103" t="inlineStr">
        <is>
          <t>ADR +$50</t>
        </is>
      </c>
      <c r="C13" s="41">
        <f>IF(C5&gt;0,(((((C3+50)*'STR Deal Analyzer'!C37*0.5+'STR Deal Analyzer'!C48*'STR Deal Analyzer'!F48*12*0.5/'STR Deal Analyzer'!F36)-((C3+50)*'STR Deal Analyzer'!C37*0.5+'STR Deal Analyzer'!C48*'STR Deal Analyzer'!F48*12*0.5/'STR Deal Analyzer'!F36)*'STR Deal Analyzer'!C45-'STR Deal Analyzer'!C48*'STR Deal Analyzer'!F48*12*0.5/'STR Deal Analyzer'!F36)-(((C3+50)*'STR Deal Analyzer'!C37*0.5+'STR Deal Analyzer'!C48*'STR Deal Analyzer'!F48*12*0.5/'STR Deal Analyzer'!F36)-((C3+50)*'STR Deal Analyzer'!C37*0.5+'STR Deal Analyzer'!C48*'STR Deal Analyzer'!F48*12*0.5/'STR Deal Analyzer'!F36)*'STR Deal Analyzer'!C45-'STR Deal Analyzer'!C48*'STR Deal Analyzer'!F48*12*0.5/'STR Deal Analyzer'!F36)*'STR Deal Analyzer'!C56)-'STR Deal Analyzer'!C60-'STR Deal Analyzer'!F60-'STR Deal Analyzer'!C61-'STR Deal Analyzer'!C72-'STR Deal Analyzer'!F61)/C5,0)</f>
        <v/>
      </c>
      <c r="D13" s="41">
        <f>IF(C5&gt;0,(((((C3+50)*'STR Deal Analyzer'!C37*0.55+'STR Deal Analyzer'!C48*'STR Deal Analyzer'!F48*12*0.55/'STR Deal Analyzer'!F36)-((C3+50)*'STR Deal Analyzer'!C37*0.55+'STR Deal Analyzer'!C48*'STR Deal Analyzer'!F48*12*0.55/'STR Deal Analyzer'!F36)*'STR Deal Analyzer'!C45-'STR Deal Analyzer'!C48*'STR Deal Analyzer'!F48*12*0.55/'STR Deal Analyzer'!F36)-(((C3+50)*'STR Deal Analyzer'!C37*0.55+'STR Deal Analyzer'!C48*'STR Deal Analyzer'!F48*12*0.55/'STR Deal Analyzer'!F36)-((C3+50)*'STR Deal Analyzer'!C37*0.55+'STR Deal Analyzer'!C48*'STR Deal Analyzer'!F48*12*0.55/'STR Deal Analyzer'!F36)*'STR Deal Analyzer'!C45-'STR Deal Analyzer'!C48*'STR Deal Analyzer'!F48*12*0.55/'STR Deal Analyzer'!F36)*'STR Deal Analyzer'!C56)-'STR Deal Analyzer'!C60-'STR Deal Analyzer'!F60-'STR Deal Analyzer'!C61-'STR Deal Analyzer'!C72-'STR Deal Analyzer'!F61)/C5,0)</f>
        <v/>
      </c>
      <c r="E13" s="41">
        <f>IF(C5&gt;0,(((((C3+50)*'STR Deal Analyzer'!C37*0.6+'STR Deal Analyzer'!C48*'STR Deal Analyzer'!F48*12*0.6/'STR Deal Analyzer'!F36)-((C3+50)*'STR Deal Analyzer'!C37*0.6+'STR Deal Analyzer'!C48*'STR Deal Analyzer'!F48*12*0.6/'STR Deal Analyzer'!F36)*'STR Deal Analyzer'!C45-'STR Deal Analyzer'!C48*'STR Deal Analyzer'!F48*12*0.6/'STR Deal Analyzer'!F36)-(((C3+50)*'STR Deal Analyzer'!C37*0.6+'STR Deal Analyzer'!C48*'STR Deal Analyzer'!F48*12*0.6/'STR Deal Analyzer'!F36)-((C3+50)*'STR Deal Analyzer'!C37*0.6+'STR Deal Analyzer'!C48*'STR Deal Analyzer'!F48*12*0.6/'STR Deal Analyzer'!F36)*'STR Deal Analyzer'!C45-'STR Deal Analyzer'!C48*'STR Deal Analyzer'!F48*12*0.6/'STR Deal Analyzer'!F36)*'STR Deal Analyzer'!C56)-'STR Deal Analyzer'!C60-'STR Deal Analyzer'!F60-'STR Deal Analyzer'!C61-'STR Deal Analyzer'!C72-'STR Deal Analyzer'!F61)/C5,0)</f>
        <v/>
      </c>
      <c r="F13" s="41">
        <f>IF(C5&gt;0,(((((C3+50)*'STR Deal Analyzer'!C37*0.65+'STR Deal Analyzer'!C48*'STR Deal Analyzer'!F48*12*0.65/'STR Deal Analyzer'!F36)-((C3+50)*'STR Deal Analyzer'!C37*0.65+'STR Deal Analyzer'!C48*'STR Deal Analyzer'!F48*12*0.65/'STR Deal Analyzer'!F36)*'STR Deal Analyzer'!C45-'STR Deal Analyzer'!C48*'STR Deal Analyzer'!F48*12*0.65/'STR Deal Analyzer'!F36)-(((C3+50)*'STR Deal Analyzer'!C37*0.65+'STR Deal Analyzer'!C48*'STR Deal Analyzer'!F48*12*0.65/'STR Deal Analyzer'!F36)-((C3+50)*'STR Deal Analyzer'!C37*0.65+'STR Deal Analyzer'!C48*'STR Deal Analyzer'!F48*12*0.65/'STR Deal Analyzer'!F36)*'STR Deal Analyzer'!C45-'STR Deal Analyzer'!C48*'STR Deal Analyzer'!F48*12*0.65/'STR Deal Analyzer'!F36)*'STR Deal Analyzer'!C56)-'STR Deal Analyzer'!C60-'STR Deal Analyzer'!F60-'STR Deal Analyzer'!C61-'STR Deal Analyzer'!C72-'STR Deal Analyzer'!F61)/C5,0)</f>
        <v/>
      </c>
      <c r="G13" s="41">
        <f>IF(C5&gt;0,(((((C3+50)*'STR Deal Analyzer'!C37*0.7+'STR Deal Analyzer'!C48*'STR Deal Analyzer'!F48*12*0.7/'STR Deal Analyzer'!F36)-((C3+50)*'STR Deal Analyzer'!C37*0.7+'STR Deal Analyzer'!C48*'STR Deal Analyzer'!F48*12*0.7/'STR Deal Analyzer'!F36)*'STR Deal Analyzer'!C45-'STR Deal Analyzer'!C48*'STR Deal Analyzer'!F48*12*0.7/'STR Deal Analyzer'!F36)-(((C3+50)*'STR Deal Analyzer'!C37*0.7+'STR Deal Analyzer'!C48*'STR Deal Analyzer'!F48*12*0.7/'STR Deal Analyzer'!F36)-((C3+50)*'STR Deal Analyzer'!C37*0.7+'STR Deal Analyzer'!C48*'STR Deal Analyzer'!F48*12*0.7/'STR Deal Analyzer'!F36)*'STR Deal Analyzer'!C45-'STR Deal Analyzer'!C48*'STR Deal Analyzer'!F48*12*0.7/'STR Deal Analyzer'!F36)*'STR Deal Analyzer'!C56)-'STR Deal Analyzer'!C60-'STR Deal Analyzer'!F60-'STR Deal Analyzer'!C61-'STR Deal Analyzer'!C72-'STR Deal Analyzer'!F61)/C5,0)</f>
        <v/>
      </c>
      <c r="H13" s="41">
        <f>IF(C5&gt;0,(((((C3+50)*'STR Deal Analyzer'!C37*0.75+'STR Deal Analyzer'!C48*'STR Deal Analyzer'!F48*12*0.75/'STR Deal Analyzer'!F36)-((C3+50)*'STR Deal Analyzer'!C37*0.75+'STR Deal Analyzer'!C48*'STR Deal Analyzer'!F48*12*0.75/'STR Deal Analyzer'!F36)*'STR Deal Analyzer'!C45-'STR Deal Analyzer'!C48*'STR Deal Analyzer'!F48*12*0.75/'STR Deal Analyzer'!F36)-(((C3+50)*'STR Deal Analyzer'!C37*0.75+'STR Deal Analyzer'!C48*'STR Deal Analyzer'!F48*12*0.75/'STR Deal Analyzer'!F36)-((C3+50)*'STR Deal Analyzer'!C37*0.75+'STR Deal Analyzer'!C48*'STR Deal Analyzer'!F48*12*0.75/'STR Deal Analyzer'!F36)*'STR Deal Analyzer'!C45-'STR Deal Analyzer'!C48*'STR Deal Analyzer'!F48*12*0.75/'STR Deal Analyzer'!F36)*'STR Deal Analyzer'!C56)-'STR Deal Analyzer'!C60-'STR Deal Analyzer'!F60-'STR Deal Analyzer'!C61-'STR Deal Analyzer'!C72-'STR Deal Analyzer'!F61)/C5,0)</f>
        <v/>
      </c>
      <c r="I13" s="41">
        <f>IF(C5&gt;0,(((((C3+50)*'STR Deal Analyzer'!C37*0.8+'STR Deal Analyzer'!C48*'STR Deal Analyzer'!F48*12*0.8/'STR Deal Analyzer'!F36)-((C3+50)*'STR Deal Analyzer'!C37*0.8+'STR Deal Analyzer'!C48*'STR Deal Analyzer'!F48*12*0.8/'STR Deal Analyzer'!F36)*'STR Deal Analyzer'!C45-'STR Deal Analyzer'!C48*'STR Deal Analyzer'!F48*12*0.8/'STR Deal Analyzer'!F36)-(((C3+50)*'STR Deal Analyzer'!C37*0.8+'STR Deal Analyzer'!C48*'STR Deal Analyzer'!F48*12*0.8/'STR Deal Analyzer'!F36)-((C3+50)*'STR Deal Analyzer'!C37*0.8+'STR Deal Analyzer'!C48*'STR Deal Analyzer'!F48*12*0.8/'STR Deal Analyzer'!F36)*'STR Deal Analyzer'!C45-'STR Deal Analyzer'!C48*'STR Deal Analyzer'!F48*12*0.8/'STR Deal Analyzer'!F36)*'STR Deal Analyzer'!C56)-'STR Deal Analyzer'!C60-'STR Deal Analyzer'!F60-'STR Deal Analyzer'!C61-'STR Deal Analyzer'!C72-'STR Deal Analyzer'!F61)/C5,0)</f>
        <v/>
      </c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110">
      <c r="A14" s="28" t="n"/>
      <c r="B14" s="103" t="inlineStr">
        <is>
          <t>ADR +$75</t>
        </is>
      </c>
      <c r="C14" s="41">
        <f>IF(C5&gt;0,(((((C3+75)*'STR Deal Analyzer'!C37*0.5+'STR Deal Analyzer'!C48*'STR Deal Analyzer'!F48*12*0.5/'STR Deal Analyzer'!F36)-((C3+75)*'STR Deal Analyzer'!C37*0.5+'STR Deal Analyzer'!C48*'STR Deal Analyzer'!F48*12*0.5/'STR Deal Analyzer'!F36)*'STR Deal Analyzer'!C45-'STR Deal Analyzer'!C48*'STR Deal Analyzer'!F48*12*0.5/'STR Deal Analyzer'!F36)-(((C3+75)*'STR Deal Analyzer'!C37*0.5+'STR Deal Analyzer'!C48*'STR Deal Analyzer'!F48*12*0.5/'STR Deal Analyzer'!F36)-((C3+75)*'STR Deal Analyzer'!C37*0.5+'STR Deal Analyzer'!C48*'STR Deal Analyzer'!F48*12*0.5/'STR Deal Analyzer'!F36)*'STR Deal Analyzer'!C45-'STR Deal Analyzer'!C48*'STR Deal Analyzer'!F48*12*0.5/'STR Deal Analyzer'!F36)*'STR Deal Analyzer'!C56)-'STR Deal Analyzer'!C60-'STR Deal Analyzer'!F60-'STR Deal Analyzer'!C61-'STR Deal Analyzer'!C72-'STR Deal Analyzer'!F61)/C5,0)</f>
        <v/>
      </c>
      <c r="D14" s="41">
        <f>IF(C5&gt;0,(((((C3+75)*'STR Deal Analyzer'!C37*0.55+'STR Deal Analyzer'!C48*'STR Deal Analyzer'!F48*12*0.55/'STR Deal Analyzer'!F36)-((C3+75)*'STR Deal Analyzer'!C37*0.55+'STR Deal Analyzer'!C48*'STR Deal Analyzer'!F48*12*0.55/'STR Deal Analyzer'!F36)*'STR Deal Analyzer'!C45-'STR Deal Analyzer'!C48*'STR Deal Analyzer'!F48*12*0.55/'STR Deal Analyzer'!F36)-(((C3+75)*'STR Deal Analyzer'!C37*0.55+'STR Deal Analyzer'!C48*'STR Deal Analyzer'!F48*12*0.55/'STR Deal Analyzer'!F36)-((C3+75)*'STR Deal Analyzer'!C37*0.55+'STR Deal Analyzer'!C48*'STR Deal Analyzer'!F48*12*0.55/'STR Deal Analyzer'!F36)*'STR Deal Analyzer'!C45-'STR Deal Analyzer'!C48*'STR Deal Analyzer'!F48*12*0.55/'STR Deal Analyzer'!F36)*'STR Deal Analyzer'!C56)-'STR Deal Analyzer'!C60-'STR Deal Analyzer'!F60-'STR Deal Analyzer'!C61-'STR Deal Analyzer'!C72-'STR Deal Analyzer'!F61)/C5,0)</f>
        <v/>
      </c>
      <c r="E14" s="41">
        <f>IF(C5&gt;0,(((((C3+75)*'STR Deal Analyzer'!C37*0.6+'STR Deal Analyzer'!C48*'STR Deal Analyzer'!F48*12*0.6/'STR Deal Analyzer'!F36)-((C3+75)*'STR Deal Analyzer'!C37*0.6+'STR Deal Analyzer'!C48*'STR Deal Analyzer'!F48*12*0.6/'STR Deal Analyzer'!F36)*'STR Deal Analyzer'!C45-'STR Deal Analyzer'!C48*'STR Deal Analyzer'!F48*12*0.6/'STR Deal Analyzer'!F36)-(((C3+75)*'STR Deal Analyzer'!C37*0.6+'STR Deal Analyzer'!C48*'STR Deal Analyzer'!F48*12*0.6/'STR Deal Analyzer'!F36)-((C3+75)*'STR Deal Analyzer'!C37*0.6+'STR Deal Analyzer'!C48*'STR Deal Analyzer'!F48*12*0.6/'STR Deal Analyzer'!F36)*'STR Deal Analyzer'!C45-'STR Deal Analyzer'!C48*'STR Deal Analyzer'!F48*12*0.6/'STR Deal Analyzer'!F36)*'STR Deal Analyzer'!C56)-'STR Deal Analyzer'!C60-'STR Deal Analyzer'!F60-'STR Deal Analyzer'!C61-'STR Deal Analyzer'!C72-'STR Deal Analyzer'!F61)/C5,0)</f>
        <v/>
      </c>
      <c r="F14" s="41">
        <f>IF(C5&gt;0,(((((C3+75)*'STR Deal Analyzer'!C37*0.65+'STR Deal Analyzer'!C48*'STR Deal Analyzer'!F48*12*0.65/'STR Deal Analyzer'!F36)-((C3+75)*'STR Deal Analyzer'!C37*0.65+'STR Deal Analyzer'!C48*'STR Deal Analyzer'!F48*12*0.65/'STR Deal Analyzer'!F36)*'STR Deal Analyzer'!C45-'STR Deal Analyzer'!C48*'STR Deal Analyzer'!F48*12*0.65/'STR Deal Analyzer'!F36)-(((C3+75)*'STR Deal Analyzer'!C37*0.65+'STR Deal Analyzer'!C48*'STR Deal Analyzer'!F48*12*0.65/'STR Deal Analyzer'!F36)-((C3+75)*'STR Deal Analyzer'!C37*0.65+'STR Deal Analyzer'!C48*'STR Deal Analyzer'!F48*12*0.65/'STR Deal Analyzer'!F36)*'STR Deal Analyzer'!C45-'STR Deal Analyzer'!C48*'STR Deal Analyzer'!F48*12*0.65/'STR Deal Analyzer'!F36)*'STR Deal Analyzer'!C56)-'STR Deal Analyzer'!C60-'STR Deal Analyzer'!F60-'STR Deal Analyzer'!C61-'STR Deal Analyzer'!C72-'STR Deal Analyzer'!F61)/C5,0)</f>
        <v/>
      </c>
      <c r="G14" s="41">
        <f>IF(C5&gt;0,(((((C3+75)*'STR Deal Analyzer'!C37*0.7+'STR Deal Analyzer'!C48*'STR Deal Analyzer'!F48*12*0.7/'STR Deal Analyzer'!F36)-((C3+75)*'STR Deal Analyzer'!C37*0.7+'STR Deal Analyzer'!C48*'STR Deal Analyzer'!F48*12*0.7/'STR Deal Analyzer'!F36)*'STR Deal Analyzer'!C45-'STR Deal Analyzer'!C48*'STR Deal Analyzer'!F48*12*0.7/'STR Deal Analyzer'!F36)-(((C3+75)*'STR Deal Analyzer'!C37*0.7+'STR Deal Analyzer'!C48*'STR Deal Analyzer'!F48*12*0.7/'STR Deal Analyzer'!F36)-((C3+75)*'STR Deal Analyzer'!C37*0.7+'STR Deal Analyzer'!C48*'STR Deal Analyzer'!F48*12*0.7/'STR Deal Analyzer'!F36)*'STR Deal Analyzer'!C45-'STR Deal Analyzer'!C48*'STR Deal Analyzer'!F48*12*0.7/'STR Deal Analyzer'!F36)*'STR Deal Analyzer'!C56)-'STR Deal Analyzer'!C60-'STR Deal Analyzer'!F60-'STR Deal Analyzer'!C61-'STR Deal Analyzer'!C72-'STR Deal Analyzer'!F61)/C5,0)</f>
        <v/>
      </c>
      <c r="H14" s="41">
        <f>IF(C5&gt;0,(((((C3+75)*'STR Deal Analyzer'!C37*0.75+'STR Deal Analyzer'!C48*'STR Deal Analyzer'!F48*12*0.75/'STR Deal Analyzer'!F36)-((C3+75)*'STR Deal Analyzer'!C37*0.75+'STR Deal Analyzer'!C48*'STR Deal Analyzer'!F48*12*0.75/'STR Deal Analyzer'!F36)*'STR Deal Analyzer'!C45-'STR Deal Analyzer'!C48*'STR Deal Analyzer'!F48*12*0.75/'STR Deal Analyzer'!F36)-(((C3+75)*'STR Deal Analyzer'!C37*0.75+'STR Deal Analyzer'!C48*'STR Deal Analyzer'!F48*12*0.75/'STR Deal Analyzer'!F36)-((C3+75)*'STR Deal Analyzer'!C37*0.75+'STR Deal Analyzer'!C48*'STR Deal Analyzer'!F48*12*0.75/'STR Deal Analyzer'!F36)*'STR Deal Analyzer'!C45-'STR Deal Analyzer'!C48*'STR Deal Analyzer'!F48*12*0.75/'STR Deal Analyzer'!F36)*'STR Deal Analyzer'!C56)-'STR Deal Analyzer'!C60-'STR Deal Analyzer'!F60-'STR Deal Analyzer'!C61-'STR Deal Analyzer'!C72-'STR Deal Analyzer'!F61)/C5,0)</f>
        <v/>
      </c>
      <c r="I14" s="41">
        <f>IF(C5&gt;0,(((((C3+75)*'STR Deal Analyzer'!C37*0.8+'STR Deal Analyzer'!C48*'STR Deal Analyzer'!F48*12*0.8/'STR Deal Analyzer'!F36)-((C3+75)*'STR Deal Analyzer'!C37*0.8+'STR Deal Analyzer'!C48*'STR Deal Analyzer'!F48*12*0.8/'STR Deal Analyzer'!F36)*'STR Deal Analyzer'!C45-'STR Deal Analyzer'!C48*'STR Deal Analyzer'!F48*12*0.8/'STR Deal Analyzer'!F36)-(((C3+75)*'STR Deal Analyzer'!C37*0.8+'STR Deal Analyzer'!C48*'STR Deal Analyzer'!F48*12*0.8/'STR Deal Analyzer'!F36)-((C3+75)*'STR Deal Analyzer'!C37*0.8+'STR Deal Analyzer'!C48*'STR Deal Analyzer'!F48*12*0.8/'STR Deal Analyzer'!F36)*'STR Deal Analyzer'!C45-'STR Deal Analyzer'!C48*'STR Deal Analyzer'!F48*12*0.8/'STR Deal Analyzer'!F36)*'STR Deal Analyzer'!C56)-'STR Deal Analyzer'!C60-'STR Deal Analyzer'!F60-'STR Deal Analyzer'!C61-'STR Deal Analyzer'!C72-'STR Deal Analyzer'!F61)/C5,0)</f>
        <v/>
      </c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110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110">
      <c r="A16" s="28" t="n"/>
      <c r="B16" s="29" t="inlineStr">
        <is>
          <t>Green ≥20% (ACT NOW)  |  Yellow 5-20%  |  Red &lt;5%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110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110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110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11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10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10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10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10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10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10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10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10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10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1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10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10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10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10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10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10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10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10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10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1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10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10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10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10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10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10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10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10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10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1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10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10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10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10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10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10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10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10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10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1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10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10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10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10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10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10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10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10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10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1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10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10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10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10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10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10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10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10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10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1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10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10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10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10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10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10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10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10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10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1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10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10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10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10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10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10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10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10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10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1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10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10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10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10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10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10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10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10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10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10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10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10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10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10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10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10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10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10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1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10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10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10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10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10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10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10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10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10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1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10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10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10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10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10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10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10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10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10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1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10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10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10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10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10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10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10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10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10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1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10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10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10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10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10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10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10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10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10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10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10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10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10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10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10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10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10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10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10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10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10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10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10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10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10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10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10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10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10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10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10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10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10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10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10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10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10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10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10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10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10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10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10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10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10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10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10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10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10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10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10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10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10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10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10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10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10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10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10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10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10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10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10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10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10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10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10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10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10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10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1">
    <mergeCell ref="B1:I1"/>
  </mergeCells>
  <conditionalFormatting sqref="C8:I14">
    <cfRule type="cellIs" priority="1" operator="greaterThanOrEqual" dxfId="2">
      <formula>0.2</formula>
    </cfRule>
    <cfRule type="cellIs" priority="2" operator="between" dxfId="3">
      <formula>0.05</formula>
      <formula>0.199</formula>
    </cfRule>
    <cfRule type="cellIs" priority="3" operator="lessThan" dxfId="4">
      <formula>0.05</formula>
    </cfRule>
  </conditionalFormatting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2026-06-19T20:37:33Z</dcterms:created>
  <dcterms:modified xsi:type="dcterms:W3CDTF">2026-06-21T04:57:05Z</dcterms:modified>
</cp:coreProperties>
</file>